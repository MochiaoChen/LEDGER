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估值汇总" sheetId="1" r:id="rId1"/>
    <sheet name="盈利预测" sheetId="2" r:id="rId2"/>
    <sheet name="DCF" sheetId="3" r:id="rId3"/>
    <sheet name="WACC" sheetId="4" r:id="rId4"/>
    <sheet name="敏感性" sheetId="5" r:id="rId5"/>
    <sheet name="非经营性资产" sheetId="6" r:id="rId6"/>
    <sheet name="三表-假设" sheetId="7" r:id="rId7"/>
    <sheet name="三表-利润表" sheetId="8" r:id="rId8"/>
    <sheet name="三表-资产负债表" sheetId="9" r:id="rId9"/>
    <sheet name="三表-现金流量表" sheetId="10" r:id="rId10"/>
    <sheet name="历史财务" sheetId="11" r:id="rId11"/>
    <sheet name="分季度" sheetId="12" r:id="rId12"/>
    <sheet name="经营数据" sheetId="13" r:id="rId13"/>
    <sheet name="模型检查" sheetId="14" r:id="rId14"/>
  </sheets>
  <calcPr fullCalcOnLoad="1"/>
</workbook>
</file>

<file path=xl/styles.xml><?xml version="1.0" encoding="utf-8"?>
<styleSheet xmlns="http://schemas.openxmlformats.org/spreadsheetml/2006/main">
  <numFmts count="9">
    <numFmt numFmtId="164" formatCode="0.00%_);(0.00%);&quot;-&quot;_)"/>
    <numFmt numFmtId="165" formatCode="0.0%_);(0.0%);&quot;-&quot;_)"/>
    <numFmt numFmtId="166" formatCode="#,##0.0_);(#,##0.0);&quot;-&quot;_)"/>
    <numFmt numFmtId="167" formatCode="#,##0.00_);(#,##0.00);&quot;-&quot;_)"/>
    <numFmt numFmtId="168" formatCode="0.0&quot;x&quot;_);(0.0&quot;x&quot;);&quot;-&quot;_)"/>
    <numFmt numFmtId="169" formatCode="0.0000"/>
    <numFmt numFmtId="170" formatCode="+0.0%;-0.0%;0.0%"/>
    <numFmt numFmtId="171" formatCode="#,##0_);(#,##0);&quot;0&quot;_)"/>
    <numFmt numFmtId="172" formatCode="+0.0&quot; pp&quot;;-0.0&quot; pp&quot;;&quot;-&quot;"/>
  </numFmts>
  <fonts count="10">
    <font>
      <sz val="12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b/>
      <sz val="12"/>
      <color rgb="FF008000"/>
      <name val="Arial"/>
      <family val="2"/>
    </font>
    <font>
      <sz val="12"/>
      <color rgb="FF0000FF"/>
      <name val="Arial"/>
      <family val="2"/>
    </font>
    <font>
      <sz val="12"/>
      <color rgb="FF008000"/>
      <name val="Arial"/>
      <family val="2"/>
    </font>
    <font>
      <sz val="12"/>
      <name val="KaiT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/>
      <bottom style="hair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left" vertical="center"/>
    </xf>
    <xf numFmtId="164" fontId="0" fillId="3" borderId="4" xfId="0" applyNumberFormat="1" applyFont="1" applyFill="1" applyBorder="1" applyAlignment="1">
      <alignment horizontal="right" vertical="center"/>
    </xf>
    <xf numFmtId="165" fontId="0" fillId="3" borderId="4" xfId="0" applyNumberFormat="1" applyFont="1" applyFill="1" applyBorder="1" applyAlignment="1">
      <alignment horizontal="right" vertical="center"/>
    </xf>
    <xf numFmtId="166" fontId="0" fillId="3" borderId="4" xfId="0" applyNumberFormat="1" applyFont="1" applyFill="1" applyBorder="1" applyAlignment="1">
      <alignment horizontal="right" vertical="center"/>
    </xf>
    <xf numFmtId="167" fontId="0" fillId="3" borderId="4" xfId="0" applyNumberFormat="1" applyFont="1" applyFill="1" applyBorder="1" applyAlignment="1">
      <alignment horizontal="right" vertical="center"/>
    </xf>
    <xf numFmtId="168" fontId="0" fillId="3" borderId="4" xfId="0" applyNumberFormat="1" applyFont="1" applyFill="1" applyBorder="1" applyAlignment="1">
      <alignment horizontal="right" vertical="center"/>
    </xf>
    <xf numFmtId="0" fontId="0" fillId="3" borderId="4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/>
    </xf>
    <xf numFmtId="164" fontId="0" fillId="0" borderId="3" xfId="0" applyNumberFormat="1" applyFont="1" applyFill="1" applyBorder="1" applyAlignment="1">
      <alignment horizontal="right" vertical="center"/>
    </xf>
    <xf numFmtId="165" fontId="0" fillId="0" borderId="3" xfId="0" applyNumberFormat="1" applyFont="1" applyFill="1" applyBorder="1" applyAlignment="1">
      <alignment horizontal="right" vertical="center"/>
    </xf>
    <xf numFmtId="166" fontId="0" fillId="0" borderId="3" xfId="0" applyNumberFormat="1" applyFont="1" applyFill="1" applyBorder="1" applyAlignment="1">
      <alignment horizontal="right" vertical="center"/>
    </xf>
    <xf numFmtId="167" fontId="0" fillId="0" borderId="3" xfId="0" applyNumberFormat="1" applyFont="1" applyFill="1" applyBorder="1" applyAlignment="1">
      <alignment horizontal="right" vertical="center"/>
    </xf>
    <xf numFmtId="168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166" fontId="5" fillId="0" borderId="2" xfId="0" applyNumberFormat="1" applyFont="1" applyFill="1" applyBorder="1" applyAlignment="1">
      <alignment horizontal="right" vertical="center"/>
    </xf>
    <xf numFmtId="166" fontId="6" fillId="0" borderId="2" xfId="0" applyNumberFormat="1" applyFont="1" applyFill="1" applyBorder="1" applyAlignment="1">
      <alignment horizontal="right" vertical="center"/>
    </xf>
    <xf numFmtId="166" fontId="7" fillId="0" borderId="3" xfId="0" applyNumberFormat="1" applyFont="1" applyFill="1" applyBorder="1" applyAlignment="1">
      <alignment horizontal="right" vertical="center"/>
    </xf>
    <xf numFmtId="166" fontId="8" fillId="0" borderId="3" xfId="0" applyNumberFormat="1" applyFont="1" applyFill="1" applyBorder="1" applyAlignment="1">
      <alignment horizontal="right" vertical="center"/>
    </xf>
    <xf numFmtId="166" fontId="4" fillId="0" borderId="2" xfId="0" applyNumberFormat="1" applyFont="1" applyFill="1" applyBorder="1" applyAlignment="1">
      <alignment horizontal="right" vertical="center"/>
    </xf>
    <xf numFmtId="167" fontId="7" fillId="0" borderId="3" xfId="0" applyNumberFormat="1" applyFont="1" applyFill="1" applyBorder="1" applyAlignment="1">
      <alignment horizontal="right" vertical="center"/>
    </xf>
    <xf numFmtId="169" fontId="0" fillId="0" borderId="3" xfId="0" applyNumberFormat="1" applyFont="1" applyFill="1" applyBorder="1" applyAlignment="1">
      <alignment horizontal="right" vertical="center"/>
    </xf>
    <xf numFmtId="164" fontId="8" fillId="0" borderId="3" xfId="0" applyNumberFormat="1" applyFont="1" applyFill="1" applyBorder="1" applyAlignment="1">
      <alignment horizontal="right" vertical="center"/>
    </xf>
    <xf numFmtId="164" fontId="7" fillId="0" borderId="3" xfId="0" applyNumberFormat="1" applyFont="1" applyFill="1" applyBorder="1" applyAlignment="1">
      <alignment horizontal="right" vertical="center"/>
    </xf>
    <xf numFmtId="164" fontId="4" fillId="0" borderId="2" xfId="0" applyNumberFormat="1" applyFont="1" applyFill="1" applyBorder="1" applyAlignment="1">
      <alignment horizontal="right" vertical="center"/>
    </xf>
    <xf numFmtId="165" fontId="7" fillId="0" borderId="3" xfId="0" applyNumberFormat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right" vertical="center"/>
    </xf>
    <xf numFmtId="168" fontId="3" fillId="2" borderId="1" xfId="0" applyNumberFormat="1" applyFont="1" applyFill="1" applyBorder="1" applyAlignment="1">
      <alignment horizontal="center" vertical="center" wrapText="1"/>
    </xf>
    <xf numFmtId="170" fontId="3" fillId="2" borderId="1" xfId="0" applyNumberFormat="1" applyFont="1" applyFill="1" applyBorder="1" applyAlignment="1">
      <alignment horizontal="center" vertical="center" wrapText="1"/>
    </xf>
    <xf numFmtId="170" fontId="4" fillId="4" borderId="3" xfId="0" applyNumberFormat="1" applyFont="1" applyFill="1" applyBorder="1" applyAlignment="1">
      <alignment horizontal="right" vertical="center"/>
    </xf>
    <xf numFmtId="171" fontId="7" fillId="3" borderId="4" xfId="0" applyNumberFormat="1" applyFont="1" applyFill="1" applyBorder="1" applyAlignment="1">
      <alignment horizontal="right" vertical="center"/>
    </xf>
    <xf numFmtId="166" fontId="9" fillId="3" borderId="4" xfId="0" applyNumberFormat="1" applyFont="1" applyFill="1" applyBorder="1" applyAlignment="1">
      <alignment horizontal="left" vertical="center"/>
    </xf>
    <xf numFmtId="165" fontId="4" fillId="0" borderId="2" xfId="0" applyNumberFormat="1" applyFont="1" applyFill="1" applyBorder="1" applyAlignment="1">
      <alignment horizontal="right" vertical="center"/>
    </xf>
    <xf numFmtId="167" fontId="4" fillId="0" borderId="2" xfId="0" applyNumberFormat="1" applyFont="1" applyFill="1" applyBorder="1" applyAlignment="1">
      <alignment horizontal="right" vertical="center"/>
    </xf>
    <xf numFmtId="170" fontId="0" fillId="0" borderId="3" xfId="0" applyNumberFormat="1" applyFont="1" applyFill="1" applyBorder="1" applyAlignment="1">
      <alignment horizontal="right" vertical="center"/>
    </xf>
    <xf numFmtId="170" fontId="4" fillId="0" borderId="2" xfId="0" applyNumberFormat="1" applyFont="1" applyFill="1" applyBorder="1" applyAlignment="1">
      <alignment horizontal="right" vertical="center"/>
    </xf>
    <xf numFmtId="172" fontId="0" fillId="0" borderId="3" xfId="0" applyNumberFormat="1" applyFont="1" applyFill="1" applyBorder="1" applyAlignment="1">
      <alignment horizontal="right" vertical="center"/>
    </xf>
    <xf numFmtId="171" fontId="7" fillId="0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4.0" customWidth="1"/>
    <col min="2" max="2" width="10.0" customWidth="1"/>
    <col min="3" max="3" width="10.0" customWidth="1"/>
    <col min="4" max="4" width="12.5" customWidth="1"/>
    <col min="5" max="5" width="12.5" customWidth="1"/>
    <col min="6" max="6" width="10.0" customWidth="1"/>
    <col min="7" max="7" width="10.0" customWidth="1"/>
    <col min="8" max="8" width="10.0" customWidth="1"/>
    <col min="9" max="9" width="10.0" customWidth="1"/>
    <col min="10" max="10" width="4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招商轮船 估值汇总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估值基准日 </t>
          </r>
          <r>
            <rPr>
              <i/>
              <sz val="9"/>
              <color rgb="FF595959"/>
              <rFont val="Arial"/>
              <family val="2"/>
            </rPr>
            <t xml:space="preserve">2026-09-30</t>
          </r>
          <r>
            <rPr>
              <i/>
              <sz val="9"/>
              <color rgb="FF595959"/>
              <rFont val="KaiTi"/>
              <family val="2"/>
            </rPr>
            <t xml:space="preserve">；模型状态 </t>
          </r>
          <r>
            <rPr>
              <i/>
              <sz val="9"/>
              <color rgb="FF595959"/>
              <rFont val="Arial"/>
              <family val="2"/>
            </rPr>
            <t xml:space="preserve">screen-grade</t>
          </r>
          <r>
            <rPr>
              <i/>
              <sz val="9"/>
              <color rgb="FF595959"/>
              <rFont val="KaiTi"/>
              <family val="2"/>
            </rPr>
            <t xml:space="preserve">；</t>
          </r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各情景经营预测取自三表模型；不构成投资建议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情景</t>
          </r>
        </is>
      </c>
      <c r="B4" s="3" t="inlineStr">
        <is>
          <t xml:space="preserve">WACC</t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永续增长率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企业价值（百万元）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股权价值（百万元）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每股价值（元）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较现价空间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终值占 </t>
          </r>
          <r>
            <rPr>
              <b/>
              <sz val="12"/>
              <color rgb="FFFFFFFF"/>
              <rFont val="Arial"/>
              <family val="2"/>
            </rPr>
            <t xml:space="preserve">EV</t>
          </r>
        </is>
      </c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隐含 </t>
          </r>
          <r>
            <rPr>
              <b/>
              <sz val="12"/>
              <color rgb="FFFFFFFF"/>
              <rFont val="Arial"/>
              <family val="2"/>
            </rPr>
            <t xml:space="preserve">EV/EBITDA</t>
          </r>
        </is>
      </c>
      <c r="J4" s="4" t="inlineStr">
        <is>
          <r>
            <rPr>
              <b/>
              <sz val="12"/>
              <color rgb="FFFFFFFF"/>
              <rFont val="KaiTi"/>
              <family val="2"/>
            </rPr>
            <t xml:space="preserve">情景说明</t>
          </r>
        </is>
      </c>
    </row>
    <row r="5">
      <c r="A5" s="5" t="inlineStr">
        <is>
          <r>
            <rPr>
              <sz val="12"/>
              <rFont val="KaiTi"/>
              <family val="2"/>
            </rPr>
            <t xml:space="preserve">基准</t>
          </r>
        </is>
      </c>
      <c r="B5" s="6">
        <v>0.08360000000000001</v>
      </c>
      <c r="C5" s="7">
        <v>0.015</v>
      </c>
      <c r="D5" s="8">
        <v>77027.37130730912</v>
      </c>
      <c r="E5" s="8">
        <v>60600.32670229912</v>
      </c>
      <c r="F5" s="9">
        <v>7.505113349486028</v>
      </c>
      <c r="G5" s="7">
        <v>-0.6275377990329514</v>
      </c>
      <c r="H5" s="7">
        <v>0.7632271743920522</v>
      </c>
      <c r="I5" s="10">
        <v>7.7559708604437745</v>
      </c>
      <c r="J5" s="11" t="inlineStr">
        <is>
          <r>
            <rPr>
              <sz val="12"/>
              <rFont val="Arial"/>
              <family val="2"/>
            </rPr>
            <t xml:space="preserve">2026 </t>
          </r>
          <r>
            <rPr>
              <sz val="12"/>
              <rFont val="KaiTi"/>
              <family val="2"/>
            </rPr>
            <t xml:space="preserve">年地缘冲突推高油轮运价、新船集中交付，收入大增；</t>
          </r>
          <r>
            <rPr>
              <sz val="12"/>
              <rFont val="Arial"/>
              <family val="2"/>
            </rPr>
            <t xml:space="preserve">2027</t>
          </r>
          <r>
            <rPr>
              <sz val="12"/>
              <rFont val="KaiTi"/>
              <family val="2"/>
            </rPr>
            <t xml:space="preserve">～</t>
          </r>
          <r>
            <rPr>
              <sz val="12"/>
              <rFont val="Arial"/>
              <family val="2"/>
            </rPr>
            <t xml:space="preserve">2028 </t>
          </r>
          <r>
            <rPr>
              <sz val="12"/>
              <rFont val="KaiTi"/>
              <family val="2"/>
            </rPr>
            <t xml:space="preserve">年运价回落，</t>
          </r>
          <r>
            <rPr>
              <sz val="12"/>
              <rFont val="Arial"/>
              <family val="2"/>
            </rPr>
            <t xml:space="preserve">2029 </t>
          </r>
          <r>
            <rPr>
              <sz val="12"/>
              <rFont val="KaiTi"/>
              <family val="2"/>
            </rPr>
            <t xml:space="preserve">年起回归周期中枢。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悲观</t>
          </r>
        </is>
      </c>
      <c r="B6" s="13">
        <v>0.08860000000000001</v>
      </c>
      <c r="C6" s="14">
        <v>0.01</v>
      </c>
      <c r="D6" s="15">
        <v>37478.77814318813</v>
      </c>
      <c r="E6" s="15">
        <v>21051.733538178134</v>
      </c>
      <c r="F6" s="16">
        <v>2.6071748289965777</v>
      </c>
      <c r="G6" s="14">
        <v>-0.8706116710175396</v>
      </c>
      <c r="H6" s="14">
        <v>0.7791655390295154</v>
      </c>
      <c r="I6" s="17">
        <v>5.806230321543123</v>
      </c>
      <c r="J6" s="18" t="inlineStr">
        <is>
          <r>
            <rPr>
              <sz val="12"/>
              <rFont val="KaiTi"/>
              <family val="2"/>
            </rPr>
            <t xml:space="preserve">地缘溢价快速消退、新船集中交付压低运价，收入增幅较小且回落更深，毛利率承压。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乐观</t>
          </r>
        </is>
      </c>
      <c r="B7" s="13">
        <v>0.0811</v>
      </c>
      <c r="C7" s="14">
        <v>0.02</v>
      </c>
      <c r="D7" s="15">
        <v>118099.13190838647</v>
      </c>
      <c r="E7" s="15">
        <v>101672.08730337647</v>
      </c>
      <c r="F7" s="16">
        <v>12.591690197302679</v>
      </c>
      <c r="G7" s="14">
        <v>-0.3751022234589241</v>
      </c>
      <c r="H7" s="14">
        <v>0.764653214276818</v>
      </c>
      <c r="I7" s="17">
        <v>9.175151834781078</v>
      </c>
      <c r="J7" s="18" t="inlineStr">
        <is>
          <r>
            <rPr>
              <sz val="12"/>
              <rFont val="KaiTi"/>
              <family val="2"/>
            </rPr>
            <t xml:space="preserve">油轮高景气延续至 </t>
          </r>
          <r>
            <rPr>
              <sz val="12"/>
              <rFont val="Arial"/>
              <family val="2"/>
            </rPr>
            <t xml:space="preserve">2027 </t>
          </r>
          <r>
            <rPr>
              <sz val="12"/>
              <rFont val="KaiTi"/>
              <family val="2"/>
            </rPr>
            <t xml:space="preserve">年，</t>
          </r>
          <r>
            <rPr>
              <sz val="12"/>
              <rFont val="Arial"/>
              <family val="2"/>
            </rPr>
            <t xml:space="preserve">LNG </t>
          </r>
          <r>
            <rPr>
              <sz val="12"/>
              <rFont val="KaiTi"/>
              <family val="2"/>
            </rPr>
            <t xml:space="preserve">与干散货长约贡献增量，运价回落更缓。</t>
          </r>
        </is>
      </c>
    </row>
    <row r="8" ht="20" customHeight="1"/>
    <row r="9" ht="24" customHeight="1">
      <c r="A9" s="3" t="inlineStr">
        <is>
          <r>
            <rPr>
              <b/>
              <sz val="12"/>
              <color rgb="FFFFFFFF"/>
              <rFont val="KaiTi"/>
              <family val="2"/>
            </rPr>
            <t xml:space="preserve">方法</t>
          </r>
        </is>
      </c>
      <c r="B9" s="3" t="inlineStr">
        <is>
          <r>
            <rPr>
              <b/>
              <sz val="12"/>
              <color rgb="FFFFFFFF"/>
              <rFont val="KaiTi"/>
              <family val="2"/>
            </rPr>
            <t xml:space="preserve">低</t>
          </r>
        </is>
      </c>
      <c r="C9" s="3" t="inlineStr">
        <is>
          <r>
            <rPr>
              <b/>
              <sz val="12"/>
              <color rgb="FFFFFFFF"/>
              <rFont val="KaiTi"/>
              <family val="2"/>
            </rPr>
            <t xml:space="preserve">中</t>
          </r>
          <r>
            <rPr>
              <b/>
              <sz val="12"/>
              <color rgb="FFFFFFFF"/>
              <rFont val="Arial"/>
              <family val="2"/>
            </rPr>
            <t xml:space="preserve">/</t>
          </r>
          <r>
            <rPr>
              <b/>
              <sz val="12"/>
              <color rgb="FFFFFFFF"/>
              <rFont val="KaiTi"/>
              <family val="2"/>
            </rPr>
            <t xml:space="preserve">基准</t>
          </r>
        </is>
      </c>
      <c r="D9" s="3" t="inlineStr">
        <is>
          <r>
            <rPr>
              <b/>
              <sz val="12"/>
              <color rgb="FFFFFFFF"/>
              <rFont val="KaiTi"/>
              <family val="2"/>
            </rPr>
            <t xml:space="preserve">高</t>
          </r>
        </is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每股价值（元）</t>
          </r>
        </is>
      </c>
      <c r="B10" s="16">
        <v>2.6071748289965777</v>
      </c>
      <c r="C10" s="16">
        <v>7.505113349486028</v>
      </c>
      <c r="D10" s="16">
        <v>12.591690197302679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1" s="12"/>
      <c r="C11" s="16">
        <v>20.15</v>
      </c>
      <c r="D11" s="12"/>
    </row>
    <row r="12" ht="16" customHeight="1">
      <c r="A12" s="2" t="inlineStr">
        <is>
          <r>
            <rPr>
              <i/>
              <sz val="9"/>
              <color rgb="FF595959"/>
              <rFont val="Arial"/>
              <family val="2"/>
            </rPr>
            <t xml:space="preserve">DCF </t>
          </r>
          <r>
            <rPr>
              <i/>
              <sz val="9"/>
              <color rgb="FF595959"/>
              <rFont val="KaiTi"/>
              <family val="2"/>
            </rPr>
            <t xml:space="preserve">与三表模型逐期核对：最大偏差 </t>
          </r>
          <r>
            <rPr>
              <i/>
              <sz val="9"/>
              <color rgb="FF595959"/>
              <rFont val="Arial"/>
              <family val="2"/>
            </rPr>
            <t xml:space="preserve">1.82e-12 </t>
          </r>
          <r>
            <rPr>
              <i/>
              <sz val="9"/>
              <color rgb="FF595959"/>
              <rFont val="KaiTi"/>
              <family val="2"/>
            </rPr>
            <t xml:space="preserve">百万元（一致）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6.0" customWidth="1"/>
    <col min="2" max="2" width="12.5" customWidth="1"/>
    <col min="3" max="3" width="11.5" customWidth="1"/>
    <col min="4" max="4" width="11.5" customWidth="1"/>
    <col min="5" max="5" width="11.5" customWidth="1"/>
    <col min="6" max="6" width="11.5" customWidth="1"/>
    <col min="7" max="7" width="11.5" customWidth="1"/>
    <col min="8" max="8" width="11.5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盈利预测（基准情景）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单位：百万元（每股为元）；蓝色为报表值或三表模型输出，黑色为公式；预测期归母净利润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最近实际年度归母占比；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按最近期末总股本摊薄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2024A</t>
        </is>
      </c>
      <c r="C4" s="3" t="inlineStr">
        <is>
          <t xml:space="preserve">2025A</t>
        </is>
      </c>
      <c r="D4" s="3" t="inlineStr">
        <is>
          <t xml:space="preserve">2026E</t>
        </is>
      </c>
      <c r="E4" s="3" t="inlineStr">
        <is>
          <t xml:space="preserve">2027E</t>
        </is>
      </c>
      <c r="F4" s="3" t="inlineStr">
        <is>
          <t xml:space="preserve">2028E</t>
        </is>
      </c>
      <c r="G4" s="3" t="inlineStr">
        <is>
          <t xml:space="preserve">2029E</t>
        </is>
      </c>
      <c r="H4" s="3" t="inlineStr">
        <is>
          <t xml:space="preserve">2030E</t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25799.2793952</v>
      </c>
      <c r="C5" s="20">
        <v>28177.21113195</v>
      </c>
      <c r="D5" s="21">
        <f>'三表-利润表'!D5</f>
        <v>39448.09558473</v>
      </c>
      <c r="E5" s="21">
        <f>'三表-利润表'!E5</f>
        <v>35503.286026257</v>
      </c>
      <c r="F5" s="21">
        <f>'三表-利润表'!F5</f>
        <v>32663.023144156443</v>
      </c>
      <c r="G5" s="21">
        <f>'三表-利润表'!G5</f>
        <v>33316.28360703957</v>
      </c>
      <c r="H5" s="21">
        <f>'三表-利润表'!H5</f>
        <v>34315.77211525076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6" s="12"/>
      <c r="C6" s="14">
        <f>C5/B5-1</f>
        <v>0.09217047113309755</v>
      </c>
      <c r="D6" s="14">
        <f>D5/C5-1</f>
        <v>0.3999999999999998</v>
      </c>
      <c r="E6" s="14">
        <f>E5/D5-1</f>
        <v>-0.09999999999999981</v>
      </c>
      <c r="F6" s="14">
        <f>F5/E5-1</f>
        <v>-0.07999999999999997</v>
      </c>
      <c r="G6" s="14">
        <f>G5/F5-1</f>
        <v>0.01999999999999989</v>
      </c>
      <c r="H6" s="14">
        <f>H5/G5-1</f>
        <v>0.03000000000000007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7" s="22">
        <v>18466.9145856</v>
      </c>
      <c r="C7" s="22">
        <v>20717.50725047</v>
      </c>
      <c r="D7" s="23">
        <f>'三表-利润表'!D6</f>
        <v>22090.9335274488</v>
      </c>
      <c r="E7" s="23">
        <f>'三表-利润表'!E6</f>
        <v>22722.10305680448</v>
      </c>
      <c r="F7" s="23">
        <f>'三表-利润表'!F6</f>
        <v>22864.116200909506</v>
      </c>
      <c r="G7" s="23">
        <f>'三表-利润表'!G6</f>
        <v>23987.72419706849</v>
      </c>
      <c r="H7" s="23">
        <f>'三表-利润表'!H6</f>
        <v>24707.355922980543</v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8" s="24">
        <f>B5-B7</f>
        <v>7332.364809600002</v>
      </c>
      <c r="C8" s="24">
        <f>C5-C7</f>
        <v>7459.70388148</v>
      </c>
      <c r="D8" s="24">
        <f>D5-D7</f>
        <v>17357.1620572812</v>
      </c>
      <c r="E8" s="24">
        <f>E5-E7</f>
        <v>12781.182969452522</v>
      </c>
      <c r="F8" s="24">
        <f>F5-F7</f>
        <v>9798.906943246933</v>
      </c>
      <c r="G8" s="24">
        <f>G5-G7</f>
        <v>9328.55940997108</v>
      </c>
      <c r="H8" s="24">
        <f>H5-H7</f>
        <v>9608.416192270211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9" s="14">
        <f>B8/B5</f>
        <v>0.28420812447049204</v>
      </c>
      <c r="C9" s="14">
        <f>C8/C5</f>
        <v>0.26474244901481675</v>
      </c>
      <c r="D9" s="14">
        <f>D8/D5</f>
        <v>0.43999999999999995</v>
      </c>
      <c r="E9" s="14">
        <f>E8/E5</f>
        <v>0.3600000000000001</v>
      </c>
      <c r="F9" s="14">
        <f>F8/F5</f>
        <v>0.3000000000000001</v>
      </c>
      <c r="G9" s="14">
        <f>G8/G5</f>
        <v>0.2799999999999999</v>
      </c>
      <c r="H9" s="14">
        <f>H8/H5</f>
        <v>0.28</v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（经营性）</t>
          </r>
        </is>
      </c>
      <c r="B10" s="22">
        <v>6337.84024943</v>
      </c>
      <c r="C10" s="22">
        <v>7079.50287887</v>
      </c>
      <c r="D10" s="23">
        <f>'三表-利润表'!D11</f>
        <v>16544.624920366907</v>
      </c>
      <c r="E10" s="23">
        <f>'三表-利润表'!E11</f>
        <v>11408.235722585468</v>
      </c>
      <c r="F10" s="23">
        <f>'三表-利润表'!F11</f>
        <v>8013.419857401806</v>
      </c>
      <c r="G10" s="23">
        <f>'三表-利润表'!G11</f>
        <v>7410.863690129467</v>
      </c>
      <c r="H10" s="23">
        <f>'三表-利润表'!H11</f>
        <v>7663.169059424015</v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1" s="22">
        <v>5209.20384874</v>
      </c>
      <c r="C11" s="22">
        <v>6070.713066810001</v>
      </c>
      <c r="D11" s="23">
        <f>'三表-利润表'!D17</f>
        <v>13503.205946000799</v>
      </c>
      <c r="E11" s="23">
        <f>'三表-利润表'!E17</f>
        <v>8967.469934877292</v>
      </c>
      <c r="F11" s="23">
        <f>'三表-利润表'!F17</f>
        <v>5969.646370904025</v>
      </c>
      <c r="G11" s="23">
        <f>'三表-利润表'!G17</f>
        <v>5437.553571588469</v>
      </c>
      <c r="H11" s="23">
        <f>'三表-利润表'!H17</f>
        <v>5660.354162673621</v>
      </c>
    </row>
    <row r="12" ht="20" customHeight="1">
      <c r="A12" s="19" t="inlineStr">
        <is>
          <r>
            <rPr>
              <b/>
              <sz val="12"/>
              <rFont val="KaiTi"/>
              <family val="2"/>
            </rPr>
            <t xml:space="preserve">归母净利润</t>
          </r>
        </is>
      </c>
      <c r="B12" s="20">
        <v>5107.44794127</v>
      </c>
      <c r="C12" s="20">
        <v>6012.096267970001</v>
      </c>
      <c r="D12" s="24">
        <f>D11*$C$12/$C$11</f>
        <v>13372.823452557119</v>
      </c>
      <c r="E12" s="24">
        <f>E11*$C$12/$C$11</f>
        <v>8880.883009174895</v>
      </c>
      <c r="F12" s="24">
        <f>F11*$C$12/$C$11</f>
        <v>5912.005438674445</v>
      </c>
      <c r="G12" s="24">
        <f>G11*$C$12/$C$11</f>
        <v>5385.050351558171</v>
      </c>
      <c r="H12" s="24">
        <f>H11*$C$12/$C$11</f>
        <v>5605.699653777363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归母净利润增长率</t>
          </r>
        </is>
      </c>
      <c r="B13" s="12"/>
      <c r="C13" s="14">
        <f>C12/B12-1</f>
        <v>0.17712335732100543</v>
      </c>
      <c r="D13" s="14">
        <f>D12/C12-1</f>
        <v>1.2243195811421177</v>
      </c>
      <c r="E13" s="14">
        <f>E12/D12-1</f>
        <v>-0.33590067642172355</v>
      </c>
      <c r="F13" s="14">
        <f>F12/E12-1</f>
        <v>-0.3342998176457548</v>
      </c>
      <c r="G13" s="14">
        <f>G12/F12-1</f>
        <v>-0.08913305181844092</v>
      </c>
      <c r="H13" s="14">
        <f>H12/G12-1</f>
        <v>0.04097441765894471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归母净利率</t>
          </r>
        </is>
      </c>
      <c r="B14" s="14">
        <f>B12/B5</f>
        <v>0.19796862784548352</v>
      </c>
      <c r="C14" s="14">
        <f>C12/C5</f>
        <v>0.21336732864782754</v>
      </c>
      <c r="D14" s="14">
        <f>D12/D5</f>
        <v>0.3389979479195345</v>
      </c>
      <c r="E14" s="14">
        <f>E12/E5</f>
        <v>0.2501425643419851</v>
      </c>
      <c r="F14" s="14">
        <f>F12/F5</f>
        <v>0.18099994640980216</v>
      </c>
      <c r="G14" s="14">
        <f>G12/G5</f>
        <v>0.16163418510521793</v>
      </c>
      <c r="H14" s="14">
        <f>H12/H5</f>
        <v>0.16335636088707017</v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总股本（百万股）</t>
          </r>
        </is>
      </c>
      <c r="B16" s="22">
        <v>8074.538502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17" s="25">
        <v>20.15</v>
      </c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总市值（百万元）</t>
          </r>
        </is>
      </c>
      <c r="B18" s="15">
        <f>B16*B17</f>
        <v>162701.9508153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每股指标与估值</t>
          </r>
        </is>
      </c>
      <c r="B20" s="3" t="inlineStr">
        <is>
          <t xml:space="preserve">2024A</t>
        </is>
      </c>
      <c r="C20" s="3" t="inlineStr">
        <is>
          <t xml:space="preserve">2025A</t>
        </is>
      </c>
      <c r="D20" s="3" t="inlineStr">
        <is>
          <t xml:space="preserve">2026E</t>
        </is>
      </c>
      <c r="E20" s="3" t="inlineStr">
        <is>
          <t xml:space="preserve">2027E</t>
        </is>
      </c>
      <c r="F20" s="3" t="inlineStr">
        <is>
          <t xml:space="preserve">2028E</t>
        </is>
      </c>
      <c r="G20" s="3" t="inlineStr">
        <is>
          <t xml:space="preserve">2029E</t>
        </is>
      </c>
      <c r="H20" s="3" t="inlineStr">
        <is>
          <t xml:space="preserve">2030E</t>
        </is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每股收益（元）</t>
          </r>
        </is>
      </c>
      <c r="B21" s="25">
        <v>0.63</v>
      </c>
      <c r="C21" s="25">
        <v>0.74</v>
      </c>
      <c r="D21" s="16">
        <f>D12/$B$16</f>
        <v>1.6561718603787419</v>
      </c>
      <c r="E21" s="16">
        <f>E12/$B$16</f>
        <v>1.0998626122068982</v>
      </c>
      <c r="F21" s="16">
        <f>F12/$B$16</f>
        <v>0.7321787415107486</v>
      </c>
      <c r="G21" s="16">
        <f>G12/$B$16</f>
        <v>0.6669174158033102</v>
      </c>
      <c r="H21" s="16">
        <f>H12/$B$16</f>
        <v>0.6942439685424591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P/E</t>
          </r>
          <r>
            <rPr>
              <sz val="12"/>
              <rFont val="KaiTi"/>
              <family val="2"/>
            </rPr>
            <t xml:space="preserve">（倍，按参考股价）</t>
          </r>
        </is>
      </c>
      <c r="B22" s="17">
        <f>$B$17/B21</f>
        <v>31.98412698412698</v>
      </c>
      <c r="C22" s="17">
        <f>$B$17/C21</f>
        <v>27.22972972972973</v>
      </c>
      <c r="D22" s="17">
        <f>$B$17/D21</f>
        <v>12.166611740035236</v>
      </c>
      <c r="E22" s="17">
        <f>$B$17/E21</f>
        <v>18.320470008130002</v>
      </c>
      <c r="F22" s="17">
        <f>$B$17/F21</f>
        <v>27.520602357865904</v>
      </c>
      <c r="G22" s="17">
        <f>$B$17/G21</f>
        <v>30.213635935311537</v>
      </c>
      <c r="H22" s="17">
        <f>$B$17/H21</f>
        <v>29.02437891150026</v>
      </c>
    </row>
    <row r="23" ht="16" customHeight="1">
      <c r="A23" s="2" t="inlineStr">
        <is>
          <r>
            <rPr>
              <i/>
              <sz val="9"/>
              <color rgb="FF595959"/>
              <rFont val="KaiTi"/>
              <family val="2"/>
            </rPr>
            <t xml:space="preserve">注：实际年度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为报表基本每股收益（加权平均股本）；预测期归母净利润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三表模型净利润 </t>
          </r>
          <r>
            <rPr>
              <i/>
              <sz val="9"/>
              <color rgb="FF595959"/>
              <rFont val="Arial"/>
              <family val="2"/>
            </rPr>
            <t xml:space="preserve">× 0.9903</t>
          </r>
          <r>
            <rPr>
              <i/>
              <sz val="9"/>
              <color rgb="FF595959"/>
              <rFont val="KaiTi"/>
              <family val="2"/>
            </rPr>
            <t xml:space="preserve">（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年归母净利润</t>
          </r>
          <r>
            <rPr>
              <i/>
              <sz val="9"/>
              <color rgb="FF595959"/>
              <rFont val="Arial"/>
              <family val="2"/>
            </rPr>
            <t xml:space="preserve">/</t>
          </r>
          <r>
            <rPr>
              <i/>
              <sz val="9"/>
              <color rgb="FF595959"/>
              <rFont val="KaiTi"/>
              <family val="2"/>
            </rPr>
            <t xml:space="preserve">净利润，假设少数股东损益占比不变）；预测期 </t>
          </r>
          <r>
            <rPr>
              <i/>
              <sz val="9"/>
              <color rgb="FF595959"/>
              <rFont val="Arial"/>
              <family val="2"/>
            </rPr>
            <t xml:space="preserve">EPS </t>
          </r>
          <r>
            <rPr>
              <i/>
              <sz val="9"/>
              <color rgb="FF595959"/>
              <rFont val="KaiTi"/>
              <family val="2"/>
            </rPr>
            <t xml:space="preserve">按 </t>
          </r>
          <r>
            <rPr>
              <i/>
              <sz val="9"/>
              <color rgb="FF595959"/>
              <rFont val="Arial"/>
              <family val="2"/>
            </rPr>
            <t xml:space="preserve">2025 </t>
          </r>
          <r>
            <rPr>
              <i/>
              <sz val="9"/>
              <color rgb="FF595959"/>
              <rFont val="KaiTi"/>
              <family val="2"/>
            </rPr>
            <t xml:space="preserve">年末总股本摊薄，未考虑回购注销对股本的影响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4.0" customWidth="1"/>
    <col min="2" max="2" width="11.5" customWidth="1"/>
    <col min="3" max="3" width="11.5" customWidth="1"/>
    <col min="4" max="4" width="11.5" customWidth="1"/>
    <col min="5" max="5" width="11.5" customWidth="1"/>
    <col min="6" max="6" width="11.5" customWidth="1"/>
    <col min="7" max="7" width="11.5" customWidth="1"/>
    <col min="8" max="8" width="2.5" customWidth="1"/>
    <col min="9" max="9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招商轮船 </t>
          </r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估值（</t>
          </r>
          <r>
            <rPr>
              <b/>
              <sz val="14"/>
              <color rgb="FF1F3864"/>
              <rFont val="Arial"/>
              <family val="2"/>
            </rPr>
            <t xml:space="preserve">FCFF</t>
          </r>
          <r>
            <rPr>
              <b/>
              <sz val="14"/>
              <color rgb="FF1F3864"/>
              <rFont val="KaiTi"/>
              <family val="2"/>
            </rPr>
            <t xml:space="preserve">，情景随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 </t>
          </r>
          <r>
            <rPr>
              <b/>
              <sz val="14"/>
              <color rgb="FF1F3864"/>
              <rFont val="KaiTi"/>
              <family val="2"/>
            </rPr>
            <t xml:space="preserve">开关，默认基准）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单位：百万元（每股为元）；蓝色为输入（财报抽取值、三表模型输出、估值假设），黑色为公式，绿色为跨表引用；预测期经营数据引用三表联动页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FY2025A</t>
        </is>
      </c>
      <c r="C4" s="3" t="inlineStr">
        <is>
          <t xml:space="preserve">FY2026E</t>
        </is>
      </c>
      <c r="D4" s="3" t="inlineStr">
        <is>
          <t xml:space="preserve">FY2027E</t>
        </is>
      </c>
      <c r="E4" s="3" t="inlineStr">
        <is>
          <t xml:space="preserve">FY2028E</t>
        </is>
      </c>
      <c r="F4" s="3" t="inlineStr">
        <is>
          <t xml:space="preserve">FY2029E</t>
        </is>
      </c>
      <c r="G4" s="3" t="inlineStr">
        <is>
          <t xml:space="preserve">FY2030E</t>
        </is>
      </c>
      <c r="H4" s="2"/>
      <c r="I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28177.21113195</v>
      </c>
      <c r="C5" s="23">
        <f>'三表-利润表'!D5</f>
        <v>39448.09558473</v>
      </c>
      <c r="D5" s="23">
        <f>'三表-利润表'!E5</f>
        <v>35503.286026257</v>
      </c>
      <c r="E5" s="23">
        <f>'三表-利润表'!F5</f>
        <v>32663.023144156443</v>
      </c>
      <c r="F5" s="23">
        <f>'三表-利润表'!G5</f>
        <v>33316.28360703957</v>
      </c>
      <c r="G5" s="23">
        <f>'三表-利润表'!H5</f>
        <v>34315.77211525076</v>
      </c>
      <c r="H5" s="2"/>
      <c r="I5" s="2" t="inlineStr">
        <is>
          <r>
            <rPr>
              <i/>
              <sz val="9"/>
              <color rgb="FF595959"/>
              <rFont val="KaiTi"/>
              <family val="2"/>
            </rPr>
            <t xml:space="preserve">历史期取合并报表真值表；预测期引用三表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收入增速</t>
          </r>
        </is>
      </c>
      <c r="B6" s="12"/>
      <c r="C6" s="14">
        <f>C5/B5-1</f>
        <v>0.3999999999999999</v>
      </c>
      <c r="D6" s="14">
        <f>D5/C5-1</f>
        <v>-0.09999999999999987</v>
      </c>
      <c r="E6" s="14">
        <f>E5/D5-1</f>
        <v>-0.07999999999999996</v>
      </c>
      <c r="F6" s="14">
        <f>F5/E5-1</f>
        <v>0.020000000000000018</v>
      </c>
      <c r="G6" s="14">
        <f>G5/F5-1</f>
        <v>0.030000000000000027</v>
      </c>
    </row>
    <row r="7" ht="20" customHeight="1">
      <c r="A7" s="12" t="inlineStr">
        <is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（剔除投资收益与公允价值变动）</t>
          </r>
        </is>
      </c>
      <c r="B7" s="22">
        <v>7079.50287887</v>
      </c>
      <c r="C7" s="23">
        <f>'三表-利润表'!D11</f>
        <v>16544.624920366907</v>
      </c>
      <c r="D7" s="23">
        <f>'三表-利润表'!E11</f>
        <v>11408.235722585468</v>
      </c>
      <c r="E7" s="23">
        <f>'三表-利润表'!F11</f>
        <v>8013.419857401806</v>
      </c>
      <c r="F7" s="23">
        <f>'三表-利润表'!G11</f>
        <v>7410.863690129467</v>
      </c>
      <c r="G7" s="23">
        <f>'三表-利润表'!H11</f>
        <v>7663.169059424015</v>
      </c>
      <c r="H7" s="2"/>
      <c r="I7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财务费用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投资收益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公允价值变动收益；预测期引用三表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利润表。</t>
          </r>
        </is>
      </c>
    </row>
    <row r="8" ht="20" customHeight="1">
      <c r="A8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8" s="14">
        <f>B7/B5</f>
        <v>0.2512492398810394</v>
      </c>
      <c r="C8" s="14">
        <f>C7/C5</f>
        <v>0.4194023735526331</v>
      </c>
      <c r="D8" s="14">
        <f>D7/D5</f>
        <v>0.3213290092119454</v>
      </c>
      <c r="E8" s="14">
        <f>E7/E5</f>
        <v>0.24533613505507504</v>
      </c>
      <c r="F8" s="14">
        <f>F7/F5</f>
        <v>0.22243968677717663</v>
      </c>
      <c r="G8" s="14">
        <f>G7/G5</f>
        <v>0.22331332174858212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减：现金税（</t>
          </r>
          <r>
            <rPr>
              <sz val="12"/>
              <rFont val="Arial"/>
              <family val="2"/>
            </rPr>
            <t xml:space="preserve">EBIT × </t>
          </r>
          <r>
            <rPr>
              <sz val="12"/>
              <rFont val="KaiTi"/>
              <family val="2"/>
            </rPr>
            <t xml:space="preserve">税率）</t>
          </r>
        </is>
      </c>
      <c r="B9" s="22">
        <v>827.8823508903832</v>
      </c>
      <c r="C9" s="15">
        <f>C7*'三表-假设'!D16</f>
        <v>1934.7407873163024</v>
      </c>
      <c r="D9" s="15">
        <f>D7*'三表-假设'!E16</f>
        <v>1334.0876006583708</v>
      </c>
      <c r="E9" s="15">
        <f>E7*'三表-假设'!F16</f>
        <v>937.0952994479754</v>
      </c>
      <c r="F9" s="15">
        <f>F7*'三表-假设'!G16</f>
        <v>866.6319314911921</v>
      </c>
      <c r="G9" s="15">
        <f>G7*'三表-假设'!H16</f>
        <v>896.1367097005877</v>
      </c>
      <c r="H9" s="2"/>
      <c r="I9" s="2" t="inlineStr">
        <is>
          <r>
            <rPr>
              <i/>
              <sz val="9"/>
              <color rgb="FF595959"/>
              <rFont val="KaiTi"/>
              <family val="2"/>
            </rPr>
            <t xml:space="preserve">现金税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× </t>
          </r>
          <r>
            <rPr>
              <i/>
              <sz val="9"/>
              <color rgb="FF595959"/>
              <rFont val="KaiTi"/>
              <family val="2"/>
            </rPr>
            <t xml:space="preserve">所得税率；税率引用三表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假设。</t>
          </r>
        </is>
      </c>
    </row>
    <row r="10" ht="20" customHeight="1">
      <c r="A10" s="19" t="inlineStr">
        <is>
          <t xml:space="preserve">NOPAT</t>
        </is>
      </c>
      <c r="B10" s="24">
        <f>B7-B9</f>
        <v>6251.620527979617</v>
      </c>
      <c r="C10" s="24">
        <f>C7-C9</f>
        <v>14609.884133050604</v>
      </c>
      <c r="D10" s="24">
        <f>D7-D9</f>
        <v>10074.148121927097</v>
      </c>
      <c r="E10" s="24">
        <f>E7-E9</f>
        <v>7076.324557953831</v>
      </c>
      <c r="F10" s="24">
        <f>F7-F9</f>
        <v>6544.231758638274</v>
      </c>
      <c r="G10" s="24">
        <f>G7-G9</f>
        <v>6767.032349723428</v>
      </c>
      <c r="H10" s="2"/>
      <c r="I10" s="2" t="inlineStr">
        <is>
          <r>
            <rPr>
              <i/>
              <sz val="9"/>
              <color rgb="FF595959"/>
              <rFont val="Arial"/>
              <family val="2"/>
            </rPr>
            <t xml:space="preserve">NOPAT 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现金税。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11" s="22">
        <v>2396.46217152</v>
      </c>
      <c r="C11" s="23">
        <f>'三表-利润表'!D10</f>
        <v>2784.9419161507913</v>
      </c>
      <c r="D11" s="23">
        <f>'三表-利润表'!E10</f>
        <v>3148.1115481799047</v>
      </c>
      <c r="E11" s="23">
        <f>'三表-利润表'!F10</f>
        <v>3418.638243052949</v>
      </c>
      <c r="F11" s="23">
        <f>'三表-利润表'!G10</f>
        <v>3583.509900193592</v>
      </c>
      <c r="G11" s="23">
        <f>'三表-利润表'!H10</f>
        <v>3661.035738608734</v>
      </c>
      <c r="H11" s="2"/>
      <c r="I11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减：资本开支</t>
          </r>
        </is>
      </c>
      <c r="B12" s="22">
        <v>7796.87905542</v>
      </c>
      <c r="C12" s="23">
        <f>'三表-假设'!D50</f>
        <v>11045.4667637244</v>
      </c>
      <c r="D12" s="23">
        <f>'三表-假设'!E50</f>
        <v>9940.920087351962</v>
      </c>
      <c r="E12" s="23">
        <f>'三表-假设'!F50</f>
        <v>7839.125554597546</v>
      </c>
      <c r="F12" s="23">
        <f>'三表-假设'!G50</f>
        <v>5996.931049267123</v>
      </c>
      <c r="G12" s="23">
        <f>'三表-假设'!H50</f>
        <v>4461.050374982598</v>
      </c>
      <c r="H12" s="2"/>
      <c r="I12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现金流量表。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13" s="22">
        <v>154.24661416000004</v>
      </c>
      <c r="C13" s="23">
        <f>'三表-假设'!D47</f>
        <v>519.339568810102</v>
      </c>
      <c r="D13" s="23">
        <f>'三表-假设'!E47</f>
        <v>-209.93935571273983</v>
      </c>
      <c r="E13" s="23">
        <f>'三表-假设'!F47</f>
        <v>-143.24058070949263</v>
      </c>
      <c r="F13" s="23">
        <f>'三表-假设'!G47</f>
        <v>3.64984242829064</v>
      </c>
      <c r="G13" s="23">
        <f>'三表-假设'!H47</f>
        <v>30.90748006578451</v>
      </c>
      <c r="H13" s="2"/>
      <c r="I13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应付账款；预测期引用三表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假设的辅助计算。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无杠杆自由现金流（</t>
          </r>
          <r>
            <rPr>
              <b/>
              <sz val="12"/>
              <rFont val="Arial"/>
              <family val="2"/>
            </rPr>
            <t xml:space="preserve">FCFF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4" s="24">
        <f>B10+B11-B12-B13</f>
        <v>696.9570299196164</v>
      </c>
      <c r="C14" s="24">
        <f>C10+C11-C12-C13</f>
        <v>5830.019716666892</v>
      </c>
      <c r="D14" s="24">
        <f>D10+D11-D12-D13</f>
        <v>3491.278938467779</v>
      </c>
      <c r="E14" s="24">
        <f>E10+E11-E12-E13</f>
        <v>2799.0778271187255</v>
      </c>
      <c r="F14" s="24">
        <f>F10+F11-F12-F13</f>
        <v>4127.160767136453</v>
      </c>
      <c r="G14" s="24">
        <f>G10+G11-G12-G13</f>
        <v>5936.110233283779</v>
      </c>
      <c r="H14" s="2"/>
      <c r="I14" s="2" t="inlineStr">
        <is>
          <r>
            <rPr>
              <i/>
              <sz val="9"/>
              <color rgb="FF595959"/>
              <rFont val="Arial"/>
              <family val="2"/>
            </rPr>
            <t xml:space="preserve">FCFF = NOPAT 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营运资本增加。</t>
          </r>
        </is>
      </c>
    </row>
    <row r="15" ht="20" customHeight="1"/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折现期（年，年中折现）</t>
          </r>
        </is>
      </c>
      <c r="B16" s="12"/>
      <c r="C16" s="22">
        <v>0.5</v>
      </c>
      <c r="D16" s="22">
        <v>1.5</v>
      </c>
      <c r="E16" s="22">
        <v>2.5</v>
      </c>
      <c r="F16" s="22">
        <v>3.5</v>
      </c>
      <c r="G16" s="22">
        <v>4.5</v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折现系数</t>
          </r>
        </is>
      </c>
      <c r="B17" s="12"/>
      <c r="C17" s="26">
        <f>1/(1+$B$21)^C16</f>
        <v>0.960650696173725</v>
      </c>
      <c r="D17" s="26">
        <f>1/(1+$B$21)^D16</f>
        <v>0.8865362644644932</v>
      </c>
      <c r="E17" s="26">
        <f>1/(1+$B$21)^E16</f>
        <v>0.8181397789447148</v>
      </c>
      <c r="F17" s="26">
        <f>1/(1+$B$21)^F16</f>
        <v>0.7550200986939044</v>
      </c>
      <c r="G17" s="26">
        <f>1/(1+$B$21)^G16</f>
        <v>0.6967701169194392</v>
      </c>
      <c r="H17" s="2"/>
      <c r="I17" s="2" t="inlineStr">
        <is>
          <r>
            <rPr>
              <i/>
              <sz val="9"/>
              <color rgb="FF595959"/>
              <rFont val="KaiTi"/>
              <family val="2"/>
            </rPr>
            <t xml:space="preserve">年中折现：</t>
          </r>
          <r>
            <rPr>
              <i/>
              <sz val="9"/>
              <color rgb="FF595959"/>
              <rFont val="Arial"/>
              <family val="2"/>
            </rPr>
            <t xml:space="preserve">1 / (1 + WACC) ^ </t>
          </r>
          <r>
            <rPr>
              <i/>
              <sz val="9"/>
              <color rgb="FF595959"/>
              <rFont val="KaiTi"/>
              <family val="2"/>
            </rPr>
            <t xml:space="preserve">折现期。</t>
          </r>
        </is>
      </c>
    </row>
    <row r="18" ht="20" customHeight="1">
      <c r="A18" s="19" t="inlineStr">
        <is>
          <r>
            <rPr>
              <b/>
              <sz val="12"/>
              <rFont val="Arial"/>
              <family val="2"/>
            </rPr>
            <t xml:space="preserve">FCFF </t>
          </r>
          <r>
            <rPr>
              <b/>
              <sz val="12"/>
              <rFont val="KaiTi"/>
              <family val="2"/>
            </rPr>
            <t xml:space="preserve">现值</t>
          </r>
        </is>
      </c>
      <c r="B18" s="19"/>
      <c r="C18" s="24">
        <f>C14*C17</f>
        <v>5600.612499522593</v>
      </c>
      <c r="D18" s="24">
        <f>D14*D17</f>
        <v>3095.145388312786</v>
      </c>
      <c r="E18" s="24">
        <f>E14*E17</f>
        <v>2290.0369147279666</v>
      </c>
      <c r="F18" s="24">
        <f>F14*F17</f>
        <v>3116.089329728975</v>
      </c>
      <c r="G18" s="24">
        <f>G14*G17</f>
        <v>4136.104221291818</v>
      </c>
    </row>
    <row r="19" ht="20" customHeight="1"/>
    <row r="20" ht="24" customHeight="1">
      <c r="A20" s="3" t="inlineStr">
        <is>
          <r>
            <rPr>
              <b/>
              <sz val="12"/>
              <color rgb="FFFFFFFF"/>
              <rFont val="KaiTi"/>
              <family val="2"/>
            </rPr>
            <t xml:space="preserve">估值与股权桥</t>
          </r>
        </is>
      </c>
      <c r="B20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20" s="2"/>
      <c r="D20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21" ht="20" customHeight="1">
      <c r="A21" s="12" t="inlineStr">
        <is>
          <r>
            <rPr>
              <sz val="12"/>
              <rFont val="Arial"/>
              <family val="2"/>
            </rPr>
            <t xml:space="preserve">WACC</t>
          </r>
          <r>
            <rPr>
              <sz val="12"/>
              <rFont val="KaiTi"/>
              <family val="2"/>
            </rPr>
            <t xml:space="preserve">（基准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情景调整）</t>
          </r>
        </is>
      </c>
      <c r="B21" s="13">
        <f>WACC!$B$20+'三表-假设'!$D$41</f>
        <v>0.08360000000000001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永续增长率</t>
          </r>
        </is>
      </c>
      <c r="B22" s="27">
        <f>'三表-假设'!$D$37</f>
        <v>0.015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预测期 </t>
          </r>
          <r>
            <rPr>
              <sz val="12"/>
              <rFont val="Arial"/>
              <family val="2"/>
            </rPr>
            <t xml:space="preserve">FCFF </t>
          </r>
          <r>
            <rPr>
              <sz val="12"/>
              <rFont val="KaiTi"/>
              <family val="2"/>
            </rPr>
            <t xml:space="preserve">现值合计</t>
          </r>
        </is>
      </c>
      <c r="B23" s="15">
        <f>SUM(C18:G18)</f>
        <v>18237.98835358414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终值（永续增长法）</t>
          </r>
        </is>
      </c>
      <c r="B24" s="15">
        <f>G14*(1+B22)/(B21-B22)</f>
        <v>87830.20243123958</v>
      </c>
      <c r="C24" s="2"/>
      <c r="D24" s="2" t="inlineStr">
        <is>
          <r>
            <rPr>
              <i/>
              <sz val="9"/>
              <color rgb="FF595959"/>
              <rFont val="Arial"/>
              <family val="2"/>
            </rPr>
            <t xml:space="preserve">Gordon </t>
          </r>
          <r>
            <rPr>
              <i/>
              <sz val="9"/>
              <color rgb="FF595959"/>
              <rFont val="KaiTi"/>
              <family val="2"/>
            </rPr>
            <t xml:space="preserve">增长模型：末年 </t>
          </r>
          <r>
            <rPr>
              <i/>
              <sz val="9"/>
              <color rgb="FF595959"/>
              <rFont val="Arial"/>
              <family val="2"/>
            </rPr>
            <t xml:space="preserve">FCFF × (1 + g) / (WACC − g)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终值现值</t>
          </r>
        </is>
      </c>
      <c r="B25" s="15">
        <f>B24/(1+B21)^COUNT(C16:G16)</f>
        <v>58789.38295372498</v>
      </c>
    </row>
    <row r="26" ht="20" customHeight="1">
      <c r="A26" s="19" t="inlineStr">
        <is>
          <r>
            <rPr>
              <b/>
              <sz val="12"/>
              <rFont val="KaiTi"/>
              <family val="2"/>
            </rPr>
            <t xml:space="preserve">企业价值（</t>
          </r>
          <r>
            <rPr>
              <b/>
              <sz val="12"/>
              <rFont val="Arial"/>
              <family val="2"/>
            </rPr>
            <t xml:space="preserve">EV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6" s="24">
        <f>B23+B25</f>
        <v>77027.37130730912</v>
      </c>
      <c r="C26" s="2"/>
      <c r="D26" s="2" t="inlineStr">
        <is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预测期 </t>
          </r>
          <r>
            <rPr>
              <i/>
              <sz val="9"/>
              <color rgb="FF595959"/>
              <rFont val="Arial"/>
              <family val="2"/>
            </rPr>
            <t xml:space="preserve">FCFF </t>
          </r>
          <r>
            <rPr>
              <i/>
              <sz val="9"/>
              <color rgb="FF595959"/>
              <rFont val="KaiTi"/>
              <family val="2"/>
            </rPr>
            <t xml:space="preserve">现值合计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终值现值。</t>
          </r>
        </is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终值占 </t>
          </r>
          <r>
            <rPr>
              <sz val="12"/>
              <rFont val="Arial"/>
              <family val="2"/>
            </rPr>
            <t xml:space="preserve">EV</t>
          </r>
        </is>
      </c>
      <c r="B27" s="14">
        <f>B25/B26</f>
        <v>0.7632271743920522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加：货币资金</t>
          </r>
        </is>
      </c>
      <c r="B28" s="22">
        <v>4720.9146631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加：非经营性资产</t>
          </r>
        </is>
      </c>
      <c r="B29" s="23">
        <f>'非经营性资产'!$B$8</f>
        <v>7999.14156618</v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加：联营投资</t>
          </r>
        </is>
      </c>
      <c r="B30" s="22">
        <v>0.0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减：有息负债</t>
          </r>
        </is>
      </c>
      <c r="B31" s="22">
        <v>27271.212706209997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减：租赁负债</t>
          </r>
        </is>
      </c>
      <c r="B32" s="22">
        <v>1126.7164853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减：少数股东权益</t>
          </r>
        </is>
      </c>
      <c r="B33" s="22">
        <v>749.17164278</v>
      </c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减：养老金、优先股、期权及其他类债务</t>
          </r>
        </is>
      </c>
      <c r="B34" s="22">
        <v>0.0</v>
      </c>
    </row>
    <row r="35" ht="20" customHeight="1">
      <c r="A35" s="19" t="inlineStr">
        <is>
          <r>
            <rPr>
              <b/>
              <sz val="12"/>
              <rFont val="KaiTi"/>
              <family val="2"/>
            </rPr>
            <t xml:space="preserve">股权价值</t>
          </r>
        </is>
      </c>
      <c r="B35" s="24">
        <f>B26+B28+B29+B30-B31-B32-B33-B34</f>
        <v>60600.32670229912</v>
      </c>
      <c r="C35" s="2"/>
      <c r="D35" s="2" t="inlineStr">
        <is>
          <r>
            <rPr>
              <i/>
              <sz val="9"/>
              <color rgb="FF595959"/>
              <rFont val="KaiTi"/>
              <family val="2"/>
            </rPr>
            <t xml:space="preserve">股权价值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企业价值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货币资金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非经营性资产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联营投资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租赁负债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少数股东权益等。</t>
          </r>
        </is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摊薄股本（百万股）</t>
          </r>
        </is>
      </c>
      <c r="B36" s="22">
        <v>8074.538502</v>
      </c>
    </row>
    <row r="37" ht="20" customHeight="1">
      <c r="A37" s="5" t="inlineStr">
        <is>
          <r>
            <rPr>
              <sz val="12"/>
              <rFont val="KaiTi"/>
              <family val="2"/>
            </rPr>
            <t xml:space="preserve">每股价值（元）</t>
          </r>
        </is>
      </c>
      <c r="B37" s="9">
        <f>B35/B36</f>
        <v>7.505113349486028</v>
      </c>
      <c r="C37" s="2"/>
      <c r="D37" s="2" t="inlineStr">
        <is>
          <r>
            <rPr>
              <i/>
              <sz val="9"/>
              <color rgb="FF595959"/>
              <rFont val="KaiTi"/>
              <family val="2"/>
            </rPr>
            <t xml:space="preserve">每股价值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股权价值（百万元）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摊薄股本（百万股）。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参考股价（元）</t>
          </r>
        </is>
      </c>
      <c r="B38" s="25">
        <v>20.15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较现价空间</t>
          </r>
        </is>
      </c>
      <c r="B39" s="14">
        <f>B37/B38-1</f>
        <v>-0.6275377990329514</v>
      </c>
    </row>
  </sheetData>
  <pageMargins left="0.5" right="0.5" top="0.6" bottom="0.6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22.0" customWidth="1"/>
    <col min="2" max="2" width="12.0" customWidth="1"/>
    <col min="3" max="3" width="3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WACC </t>
          </r>
          <r>
            <rPr>
              <b/>
              <sz val="14"/>
              <color rgb="FF1F3864"/>
              <rFont val="KaiTi"/>
              <family val="2"/>
            </rPr>
            <t xml:space="preserve">测算（基准情景）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蓝色为估值假设文件输入，黑色为公式；各情景在基准 </t>
          </r>
          <r>
            <rPr>
              <i/>
              <sz val="9"/>
              <color rgb="FF595959"/>
              <rFont val="Arial"/>
              <family val="2"/>
            </rPr>
            <t xml:space="preserve">WACC </t>
          </r>
          <r>
            <rPr>
              <i/>
              <sz val="9"/>
              <color rgb="FF595959"/>
              <rFont val="KaiTi"/>
              <family val="2"/>
            </rPr>
            <t xml:space="preserve">上加情景调整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说明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无风险利率</t>
          </r>
        </is>
      </c>
      <c r="B5" s="28">
        <v>0.018</v>
      </c>
      <c r="C5" s="12" t="inlineStr">
        <is>
          <r>
            <rPr>
              <sz val="12"/>
              <rFont val="Arial"/>
              <family val="2"/>
            </rPr>
            <t xml:space="preserve">10 </t>
          </r>
          <r>
            <rPr>
              <sz val="12"/>
              <rFont val="KaiTi"/>
              <family val="2"/>
            </rPr>
            <t xml:space="preserve">年期国债收益率</t>
          </r>
        </is>
      </c>
    </row>
    <row r="6" ht="20" customHeight="1">
      <c r="A6" s="12" t="inlineStr">
        <is>
          <t xml:space="preserve">β</t>
        </is>
      </c>
      <c r="B6" s="25">
        <v>1.2</v>
      </c>
      <c r="C6" s="12" t="inlineStr">
        <is>
          <r>
            <rPr>
              <sz val="12"/>
              <rFont val="KaiTi"/>
              <family val="2"/>
            </rPr>
            <t xml:space="preserve">可比公司均值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股权风险溢价</t>
          </r>
        </is>
      </c>
      <c r="B7" s="28">
        <v>0.065</v>
      </c>
      <c r="C7" s="12"/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规模溢价</t>
          </r>
        </is>
      </c>
      <c r="B8" s="28">
        <v>0.0</v>
      </c>
      <c r="C8" s="12"/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公司特定风险溢价</t>
          </r>
        </is>
      </c>
      <c r="B9" s="28">
        <v>0.0</v>
      </c>
      <c r="C9" s="12"/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国别风险溢价</t>
          </r>
        </is>
      </c>
      <c r="B10" s="28">
        <v>0.0</v>
      </c>
      <c r="C10" s="12"/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股权成本 </t>
          </r>
          <r>
            <rPr>
              <b/>
              <sz val="12"/>
              <rFont val="Arial"/>
              <family val="2"/>
            </rPr>
            <t xml:space="preserve">Ke</t>
          </r>
        </is>
      </c>
      <c r="B11" s="29">
        <f>B5+B6*B7+B8+B9+B10</f>
        <v>0.096</v>
      </c>
      <c r="C11" s="19" t="inlineStr">
        <is>
          <r>
            <rPr>
              <b/>
              <sz val="12"/>
              <rFont val="Arial"/>
              <family val="2"/>
            </rPr>
            <t xml:space="preserve">Rf + β × ERP + </t>
          </r>
          <r>
            <rPr>
              <b/>
              <sz val="12"/>
              <rFont val="KaiTi"/>
              <family val="2"/>
            </rPr>
            <t xml:space="preserve">各项溢价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税前债务成本</t>
          </r>
        </is>
      </c>
      <c r="B12" s="28">
        <v>0.04</v>
      </c>
      <c r="C12" s="12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边际税率</t>
          </r>
        </is>
      </c>
      <c r="B13" s="30">
        <v>0.15</v>
      </c>
      <c r="C13" s="12"/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税后债务成本 </t>
          </r>
          <r>
            <rPr>
              <b/>
              <sz val="12"/>
              <rFont val="Arial"/>
              <family val="2"/>
            </rPr>
            <t xml:space="preserve">Kd</t>
          </r>
        </is>
      </c>
      <c r="B14" s="29">
        <f>B12*(1-B13)</f>
        <v>0.034</v>
      </c>
      <c r="C14" s="19" t="inlineStr">
        <is>
          <r>
            <rPr>
              <b/>
              <sz val="12"/>
              <rFont val="KaiTi"/>
              <family val="2"/>
            </rPr>
            <t xml:space="preserve">税前债务成本 </t>
          </r>
          <r>
            <rPr>
              <b/>
              <sz val="12"/>
              <rFont val="Arial"/>
              <family val="2"/>
            </rPr>
            <t xml:space="preserve">× (1 − </t>
          </r>
          <r>
            <rPr>
              <b/>
              <sz val="12"/>
              <rFont val="KaiTi"/>
              <family val="2"/>
            </rPr>
            <t xml:space="preserve">税率</t>
          </r>
          <r>
            <rPr>
              <b/>
              <sz val="12"/>
              <rFont val="Arial"/>
              <family val="2"/>
            </rPr>
            <t xml:space="preserve">)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目标债务占比</t>
          </r>
        </is>
      </c>
      <c r="B15" s="30">
        <v>0.2</v>
      </c>
      <c r="C15" s="12"/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目标股权占比</t>
          </r>
        </is>
      </c>
      <c r="B16" s="30">
        <v>0.8</v>
      </c>
      <c r="C16" s="12"/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优先股占比</t>
          </r>
        </is>
      </c>
      <c r="B17" s="30">
        <v>0.0</v>
      </c>
      <c r="C17" s="12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优先股成本</t>
          </r>
        </is>
      </c>
      <c r="B18" s="28">
        <v>0.0</v>
      </c>
      <c r="C18" s="12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情景调整（基准）</t>
          </r>
        </is>
      </c>
      <c r="B19" s="28">
        <v>0.0</v>
      </c>
      <c r="C19" s="12"/>
    </row>
    <row r="20" ht="20" customHeight="1">
      <c r="A20" s="5" t="inlineStr">
        <is>
          <t xml:space="preserve">WACC</t>
        </is>
      </c>
      <c r="B20" s="6">
        <f>B16*B11+B15*B14+B17*B18+B19</f>
        <v>0.08360000000000001</v>
      </c>
      <c r="C20" s="5" t="inlineStr">
        <is>
          <r>
            <rPr>
              <sz val="12"/>
              <rFont val="Arial"/>
              <family val="2"/>
            </rPr>
            <t xml:space="preserve">E% × Ke + D% × Kd + P% × Kp + </t>
          </r>
          <r>
            <rPr>
              <sz val="12"/>
              <rFont val="KaiTi"/>
              <family val="2"/>
            </rPr>
            <t xml:space="preserve">情景调整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30.0" customWidth="1"/>
    <col min="2" max="2" width="10.0" customWidth="1"/>
    <col min="3" max="3" width="10.0" customWidth="1"/>
    <col min="4" max="4" width="10.0" customWidth="1"/>
    <col min="5" max="5" width="10.0" customWidth="1"/>
    <col min="6" max="6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DCF </t>
          </r>
          <r>
            <rPr>
              <b/>
              <sz val="14"/>
              <color rgb="FF1F3864"/>
              <rFont val="KaiTi"/>
              <family val="2"/>
            </rPr>
            <t xml:space="preserve">敏感性分析（基准情景，每股价值，元）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黄色为基准情景；</t>
          </r>
          <r>
            <rPr>
              <i/>
              <sz val="9"/>
              <color rgb="FF595959"/>
              <rFont val="Arial"/>
              <family val="2"/>
            </rPr>
            <t xml:space="preserve">WACC</t>
          </r>
          <r>
            <rPr>
              <i/>
              <sz val="9"/>
              <color rgb="FF595959"/>
              <rFont val="KaiTi"/>
              <family val="2"/>
            </rPr>
            <t xml:space="preserve">、永续增长率与退出倍数为绝对值，收入增速与利润率为相对基准的变动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永续增长率</t>
          </r>
        </is>
      </c>
      <c r="B4" s="31"/>
      <c r="C4" s="31"/>
      <c r="D4" s="31"/>
      <c r="E4" s="31"/>
      <c r="F4" s="31"/>
    </row>
    <row r="5" ht="24" customHeight="1">
      <c r="A5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永续增长率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5" s="32">
        <v>0.004999999999999999</v>
      </c>
      <c r="C5" s="32">
        <v>0.009999999999999998</v>
      </c>
      <c r="D5" s="32">
        <v>0.015</v>
      </c>
      <c r="E5" s="32">
        <v>0.02</v>
      </c>
      <c r="F5" s="32">
        <v>0.025</v>
      </c>
    </row>
    <row r="6" ht="20" customHeight="1">
      <c r="A6" s="33">
        <v>0.07360000000000001</v>
      </c>
      <c r="B6" s="16">
        <v>7.825231309556462</v>
      </c>
      <c r="C6" s="16">
        <v>8.459397389797424</v>
      </c>
      <c r="D6" s="16">
        <v>9.2017829376563</v>
      </c>
      <c r="E6" s="16">
        <v>10.082673251906757</v>
      </c>
      <c r="F6" s="16">
        <v>11.144816717237553</v>
      </c>
    </row>
    <row r="7" ht="20" customHeight="1">
      <c r="A7" s="33">
        <v>0.0786</v>
      </c>
      <c r="B7" s="16">
        <v>7.12546813159789</v>
      </c>
      <c r="C7" s="16">
        <v>7.663379419514439</v>
      </c>
      <c r="D7" s="16">
        <v>8.285867953958748</v>
      </c>
      <c r="E7" s="16">
        <v>9.01458320076557</v>
      </c>
      <c r="F7" s="16">
        <v>9.879252784663214</v>
      </c>
    </row>
    <row r="8" ht="20" customHeight="1">
      <c r="A8" s="33">
        <v>0.08360000000000001</v>
      </c>
      <c r="B8" s="16">
        <v>6.516192347430491</v>
      </c>
      <c r="C8" s="16">
        <v>6.977061781812352</v>
      </c>
      <c r="D8" s="9">
        <v>7.505113349486028</v>
      </c>
      <c r="E8" s="16">
        <v>8.116191893209024</v>
      </c>
      <c r="F8" s="16">
        <v>8.831550051901813</v>
      </c>
    </row>
    <row r="9" ht="20" customHeight="1">
      <c r="A9" s="33">
        <v>0.08860000000000001</v>
      </c>
      <c r="B9" s="16">
        <v>5.981121528606792</v>
      </c>
      <c r="C9" s="16">
        <v>6.379459867855493</v>
      </c>
      <c r="D9" s="16">
        <v>6.831920264067334</v>
      </c>
      <c r="E9" s="16">
        <v>7.350336986257578</v>
      </c>
      <c r="F9" s="16">
        <v>7.950265771685279</v>
      </c>
    </row>
    <row r="10" ht="20" customHeight="1">
      <c r="A10" s="33">
        <v>0.0936</v>
      </c>
      <c r="B10" s="16">
        <v>5.507650404561983</v>
      </c>
      <c r="C10" s="16">
        <v>5.854611073303235</v>
      </c>
      <c r="D10" s="16">
        <v>6.245714320764747</v>
      </c>
      <c r="E10" s="16">
        <v>6.689956596413967</v>
      </c>
      <c r="F10" s="16">
        <v>7.198957221283187</v>
      </c>
    </row>
    <row r="11" ht="20" customHeight="1"/>
    <row r="12" ht="20" customHeight="1">
      <c r="A12" s="31" t="inlineStr">
        <is>
          <r>
            <rPr>
              <b/>
              <sz val="12"/>
              <rFont val="Arial"/>
              <family val="2"/>
            </rPr>
            <t xml:space="preserve">WACC × </t>
          </r>
          <r>
            <rPr>
              <b/>
              <sz val="12"/>
              <rFont val="KaiTi"/>
              <family val="2"/>
            </rPr>
            <t xml:space="preserve">退出 </t>
          </r>
          <r>
            <rPr>
              <b/>
              <sz val="12"/>
              <rFont val="Arial"/>
              <family val="2"/>
            </rPr>
            <t xml:space="preserve">EV/EBITDA </t>
          </r>
          <r>
            <rPr>
              <b/>
              <sz val="12"/>
              <rFont val="KaiTi"/>
              <family val="2"/>
            </rPr>
            <t xml:space="preserve">倍数</t>
          </r>
        </is>
      </c>
      <c r="B12" s="31"/>
      <c r="C12" s="31"/>
      <c r="D12" s="31"/>
      <c r="E12" s="31"/>
      <c r="F12" s="31"/>
    </row>
    <row r="13" ht="24" customHeight="1">
      <c r="A13" s="3" t="inlineStr">
        <is>
          <r>
            <rPr>
              <b/>
              <sz val="12"/>
              <color rgb="FFFFFFFF"/>
              <rFont val="Arial"/>
              <family val="2"/>
            </rPr>
            <t xml:space="preserve">WACC ↓ </t>
          </r>
          <r>
            <rPr>
              <b/>
              <sz val="12"/>
              <color rgb="FFFFFFFF"/>
              <rFont val="KaiTi"/>
              <family val="2"/>
            </rPr>
            <t xml:space="preserve">／ 退出 </t>
          </r>
          <r>
            <rPr>
              <b/>
              <sz val="12"/>
              <color rgb="FFFFFFFF"/>
              <rFont val="Arial"/>
              <family val="2"/>
            </rPr>
            <t xml:space="preserve">EV/EBITDA →</t>
          </r>
        </is>
      </c>
      <c r="B13" s="34">
        <v>4.0</v>
      </c>
      <c r="C13" s="34">
        <v>5.0</v>
      </c>
      <c r="D13" s="34">
        <v>6.0</v>
      </c>
      <c r="E13" s="34">
        <v>7.0</v>
      </c>
      <c r="F13" s="34">
        <v>8.0</v>
      </c>
    </row>
    <row r="14" ht="20" customHeight="1">
      <c r="A14" s="33">
        <v>0.07360000000000001</v>
      </c>
      <c r="B14" s="16">
        <v>4.207193776054802</v>
      </c>
      <c r="C14" s="16">
        <v>5.190474422338565</v>
      </c>
      <c r="D14" s="16">
        <v>6.17375506862233</v>
      </c>
      <c r="E14" s="16">
        <v>7.157035714906092</v>
      </c>
      <c r="F14" s="16">
        <v>8.140316361189855</v>
      </c>
    </row>
    <row r="15" ht="20" customHeight="1">
      <c r="A15" s="33">
        <v>0.0786</v>
      </c>
      <c r="B15" s="16">
        <v>4.091722333087707</v>
      </c>
      <c r="C15" s="16">
        <v>5.052422631227206</v>
      </c>
      <c r="D15" s="16">
        <v>6.013122929366706</v>
      </c>
      <c r="E15" s="16">
        <v>6.973823227506206</v>
      </c>
      <c r="F15" s="16">
        <v>7.934523525645707</v>
      </c>
    </row>
    <row r="16" ht="20" customHeight="1">
      <c r="A16" s="33">
        <v>0.08360000000000001</v>
      </c>
      <c r="B16" s="16">
        <v>3.9792357015551305</v>
      </c>
      <c r="C16" s="16">
        <v>4.917975052561253</v>
      </c>
      <c r="D16" s="9">
        <v>5.856714403567376</v>
      </c>
      <c r="E16" s="16">
        <v>6.795453754573498</v>
      </c>
      <c r="F16" s="16">
        <v>7.734193105579622</v>
      </c>
    </row>
    <row r="17" ht="20" customHeight="1">
      <c r="A17" s="33">
        <v>0.08860000000000001</v>
      </c>
      <c r="B17" s="16">
        <v>3.8696416398922677</v>
      </c>
      <c r="C17" s="16">
        <v>4.787019712554381</v>
      </c>
      <c r="D17" s="16">
        <v>5.704397785216495</v>
      </c>
      <c r="E17" s="16">
        <v>6.621775857878608</v>
      </c>
      <c r="F17" s="16">
        <v>7.539153930540721</v>
      </c>
    </row>
    <row r="18" ht="20" customHeight="1">
      <c r="A18" s="33">
        <v>0.0936</v>
      </c>
      <c r="B18" s="16">
        <v>3.7628511860894647</v>
      </c>
      <c r="C18" s="16">
        <v>4.659448632125251</v>
      </c>
      <c r="D18" s="16">
        <v>5.556046078161041</v>
      </c>
      <c r="E18" s="16">
        <v>6.452643524196828</v>
      </c>
      <c r="F18" s="16">
        <v>7.349240970232615</v>
      </c>
    </row>
    <row r="19" ht="20" customHeight="1"/>
    <row r="20" ht="20" customHeight="1">
      <c r="A20" s="31" t="inlineStr">
        <is>
          <r>
            <rPr>
              <b/>
              <sz val="12"/>
              <rFont val="KaiTi"/>
              <family val="2"/>
            </rPr>
            <t xml:space="preserve">收入增速 </t>
          </r>
          <r>
            <rPr>
              <b/>
              <sz val="12"/>
              <rFont val="Arial"/>
              <family val="2"/>
            </rPr>
            <t xml:space="preserve">× EBIT </t>
          </r>
          <r>
            <rPr>
              <b/>
              <sz val="12"/>
              <rFont val="KaiTi"/>
              <family val="2"/>
            </rPr>
            <t xml:space="preserve">利润率</t>
          </r>
        </is>
      </c>
      <c r="B20" s="31"/>
      <c r="C20" s="31"/>
      <c r="D20" s="31"/>
      <c r="E20" s="31"/>
      <c r="F20" s="31"/>
    </row>
    <row r="21" ht="36" customHeight="1">
      <c r="A21" s="3" t="inlineStr">
        <is>
          <r>
            <rPr>
              <b/>
              <sz val="12"/>
              <color rgb="FFFFFFFF"/>
              <rFont val="KaiTi"/>
              <family val="2"/>
            </rPr>
            <t xml:space="preserve">收入增速变动 </t>
          </r>
          <r>
            <rPr>
              <b/>
              <sz val="12"/>
              <color rgb="FFFFFFFF"/>
              <rFont val="Arial"/>
              <family val="2"/>
            </rPr>
            <t xml:space="preserve">↓ </t>
          </r>
          <r>
            <rPr>
              <b/>
              <sz val="12"/>
              <color rgb="FFFFFFFF"/>
              <rFont val="KaiTi"/>
              <family val="2"/>
            </rPr>
            <t xml:space="preserve">／ </t>
          </r>
          <r>
            <rPr>
              <b/>
              <sz val="12"/>
              <color rgb="FFFFFFFF"/>
              <rFont val="Arial"/>
              <family val="2"/>
            </rPr>
            <t xml:space="preserve">EBIT </t>
          </r>
          <r>
            <rPr>
              <b/>
              <sz val="12"/>
              <color rgb="FFFFFFFF"/>
              <rFont val="KaiTi"/>
              <family val="2"/>
            </rPr>
            <t xml:space="preserve">利润率变动 </t>
          </r>
          <r>
            <rPr>
              <b/>
              <sz val="12"/>
              <color rgb="FFFFFFFF"/>
              <rFont val="Arial"/>
              <family val="2"/>
            </rPr>
            <t xml:space="preserve">→</t>
          </r>
        </is>
      </c>
      <c r="B21" s="35">
        <v>-0.03</v>
      </c>
      <c r="C21" s="35">
        <v>-0.015</v>
      </c>
      <c r="D21" s="35">
        <v>0.0</v>
      </c>
      <c r="E21" s="35">
        <v>0.015</v>
      </c>
      <c r="F21" s="35">
        <v>0.03</v>
      </c>
    </row>
    <row r="22" ht="20" customHeight="1">
      <c r="A22" s="36">
        <v>-0.02</v>
      </c>
      <c r="B22" s="16">
        <v>5.277159590065236</v>
      </c>
      <c r="C22" s="16">
        <v>6.00857214188467</v>
      </c>
      <c r="D22" s="16">
        <v>6.739984693704108</v>
      </c>
      <c r="E22" s="16">
        <v>7.471397245523541</v>
      </c>
      <c r="F22" s="16">
        <v>8.202809797342978</v>
      </c>
    </row>
    <row r="23" ht="20" customHeight="1">
      <c r="A23" s="36">
        <v>-0.01</v>
      </c>
      <c r="B23" s="16">
        <v>5.589772181610159</v>
      </c>
      <c r="C23" s="16">
        <v>6.352712424716708</v>
      </c>
      <c r="D23" s="16">
        <v>7.115652667823259</v>
      </c>
      <c r="E23" s="16">
        <v>7.878592910929808</v>
      </c>
      <c r="F23" s="16">
        <v>8.64153315403636</v>
      </c>
    </row>
    <row r="24" ht="20" customHeight="1">
      <c r="A24" s="36">
        <v>0.0</v>
      </c>
      <c r="B24" s="16">
        <v>5.913839060462142</v>
      </c>
      <c r="C24" s="16">
        <v>6.709476204974085</v>
      </c>
      <c r="D24" s="9">
        <v>7.505113349486028</v>
      </c>
      <c r="E24" s="16">
        <v>8.300750493997969</v>
      </c>
      <c r="F24" s="16">
        <v>9.096387638509908</v>
      </c>
    </row>
    <row r="25" ht="20" customHeight="1">
      <c r="A25" s="36">
        <v>0.01</v>
      </c>
      <c r="B25" s="16">
        <v>6.2496768883463325</v>
      </c>
      <c r="C25" s="16">
        <v>7.079213366936631</v>
      </c>
      <c r="D25" s="16">
        <v>7.9087498455269225</v>
      </c>
      <c r="E25" s="16">
        <v>8.738286324117217</v>
      </c>
      <c r="F25" s="16">
        <v>9.567822802707509</v>
      </c>
    </row>
    <row r="26" ht="20" customHeight="1">
      <c r="A26" s="36">
        <v>0.02</v>
      </c>
      <c r="B26" s="16">
        <v>6.597608092947155</v>
      </c>
      <c r="C26" s="16">
        <v>7.4622801889570045</v>
      </c>
      <c r="D26" s="16">
        <v>8.326952284966854</v>
      </c>
      <c r="E26" s="16">
        <v>9.191624380976698</v>
      </c>
      <c r="F26" s="16">
        <v>10.056296476986548</v>
      </c>
    </row>
    <row r="27" ht="20" customHeight="1"/>
  </sheetData>
  <pageMargins left="0.5" right="0.5" top="0.6" bottom="0.6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30.0" customWidth="1"/>
    <col min="2" max="2" width="10.5" customWidth="1"/>
    <col min="3" max="3" width="9.0" customWidth="1"/>
    <col min="4" max="4" width="22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股权桥：非经营性资产明细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单位：百万元；逐项核对年报原文（</t>
          </r>
          <r>
            <rPr>
              <i/>
              <sz val="9"/>
              <color rgb="FF595959"/>
              <rFont val="Arial"/>
              <family val="2"/>
            </rPr>
            <t xml:space="preserve">valuation/non_operating_assets.json</t>
          </r>
          <r>
            <rPr>
              <i/>
              <sz val="9"/>
              <color rgb="FF595959"/>
              <rFont val="KaiTi"/>
              <family val="2"/>
            </rPr>
            <t xml:space="preserve">）；负数为类负债项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r>
            <rPr>
              <b/>
              <sz val="12"/>
              <color rgb="FFFFFFFF"/>
              <rFont val="KaiTi"/>
              <family val="2"/>
            </rPr>
            <t xml:space="preserve">百万元</t>
          </r>
        </is>
      </c>
      <c r="C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原文数（元）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长期股权投资</t>
          </r>
        </is>
      </c>
      <c r="B5" s="22">
        <v>8674.37544643</v>
      </c>
      <c r="C5" s="12" t="inlineStr">
        <is>
          <t xml:space="preserve">p.98</t>
        </is>
      </c>
      <c r="D5" s="12" t="inlineStr">
        <is>
          <t xml:space="preserve">8,674,375,446.43</t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其他权益工具投资</t>
          </r>
        </is>
      </c>
      <c r="B6" s="22">
        <v>2.13132412</v>
      </c>
      <c r="C6" s="12" t="inlineStr">
        <is>
          <t xml:space="preserve">p.98</t>
        </is>
      </c>
      <c r="D6" s="12" t="inlineStr">
        <is>
          <t xml:space="preserve">2,131,324.12</t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减：长期应付款（主要为租赁公司借款）</t>
          </r>
        </is>
      </c>
      <c r="B7" s="22">
        <v>-677.36520437</v>
      </c>
      <c r="C7" s="12" t="inlineStr">
        <is>
          <t xml:space="preserve">p.99</t>
        </is>
      </c>
      <c r="D7" s="12" t="inlineStr">
        <is>
          <t xml:space="preserve">677,365,204.37</t>
        </is>
      </c>
    </row>
    <row r="8" ht="20" customHeight="1">
      <c r="A8" s="19" t="inlineStr">
        <is>
          <r>
            <rPr>
              <b/>
              <sz val="12"/>
              <rFont val="KaiTi"/>
              <family val="2"/>
            </rPr>
            <t xml:space="preserve">合计</t>
          </r>
        </is>
      </c>
      <c r="B8" s="24">
        <f>SUM(B5:B7)</f>
        <v>7999.14156618</v>
      </c>
    </row>
  </sheetData>
  <pageMargins left="0.5" right="0.5" top="0.6" bottom="0.6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>
  <sheetPr>
    <tabColor rgb="FFC65911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三表联动模型：驱动假设与辅助计算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单位：百万元；蓝色为输入（报表值、驱动假设），黑色为公式，绿色为跨表引用；改 </t>
          </r>
          <r>
            <rPr>
              <i/>
              <sz val="9"/>
              <color rgb="FF595959"/>
              <rFont val="Arial"/>
              <family val="2"/>
            </rPr>
            <t xml:space="preserve">B5 </t>
          </r>
          <r>
            <rPr>
              <i/>
              <sz val="9"/>
              <color rgb="FF595959"/>
              <rFont val="KaiTi"/>
              <family val="2"/>
            </rPr>
            <t xml:space="preserve">情景开关（</t>
          </r>
          <r>
            <rPr>
              <i/>
              <sz val="9"/>
              <color rgb="FF595959"/>
              <rFont val="Arial"/>
              <family val="2"/>
            </rPr>
            <t xml:space="preserve">1 </t>
          </r>
          <r>
            <rPr>
              <i/>
              <sz val="9"/>
              <color rgb="FF595959"/>
              <rFont val="KaiTi"/>
              <family val="2"/>
            </rPr>
            <t xml:space="preserve">悲观 </t>
          </r>
          <r>
            <rPr>
              <i/>
              <sz val="9"/>
              <color rgb="FF595959"/>
              <rFont val="Arial"/>
              <family val="2"/>
            </rPr>
            <t xml:space="preserve">/ 2 </t>
          </r>
          <r>
            <rPr>
              <i/>
              <sz val="9"/>
              <color rgb="FF595959"/>
              <rFont val="KaiTi"/>
              <family val="2"/>
            </rPr>
            <t xml:space="preserve">基准 </t>
          </r>
          <r>
            <rPr>
              <i/>
              <sz val="9"/>
              <color rgb="FF595959"/>
              <rFont val="Arial"/>
              <family val="2"/>
            </rPr>
            <t xml:space="preserve">/ 3 </t>
          </r>
          <r>
            <rPr>
              <i/>
              <sz val="9"/>
              <color rgb="FF595959"/>
              <rFont val="KaiTi"/>
              <family val="2"/>
            </rPr>
            <t xml:space="preserve">乐观）即联动三表与 </t>
          </r>
          <r>
            <rPr>
              <i/>
              <sz val="9"/>
              <color rgb="FF595959"/>
              <rFont val="Arial"/>
              <family val="2"/>
            </rPr>
            <t xml:space="preserve">DCF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驱动假设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情景开关（</t>
          </r>
          <r>
            <rPr>
              <sz val="12"/>
              <rFont val="Arial"/>
              <family val="2"/>
            </rPr>
            <t xml:space="preserve">1 </t>
          </r>
          <r>
            <rPr>
              <sz val="12"/>
              <rFont val="KaiTi"/>
              <family val="2"/>
            </rPr>
            <t xml:space="preserve">悲观 </t>
          </r>
          <r>
            <rPr>
              <sz val="12"/>
              <rFont val="Arial"/>
              <family val="2"/>
            </rPr>
            <t xml:space="preserve">/ 2 </t>
          </r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/ 3 </t>
          </r>
          <r>
            <rPr>
              <sz val="12"/>
              <rFont val="KaiTi"/>
              <family val="2"/>
            </rPr>
            <t xml:space="preserve">乐观）</t>
          </r>
        </is>
      </c>
      <c r="B5" s="37">
        <v>2</v>
      </c>
      <c r="C5" s="38" t="str">
        <f>CHOOSE(B5,"悲观","基准","乐观")</f>
        <v>基准</v>
      </c>
    </row>
    <row r="6" ht="20" customHeight="1">
      <c r="A6" s="31" t="inlineStr">
        <is>
          <r>
            <rPr>
              <b/>
              <sz val="12"/>
              <rFont val="KaiTi"/>
              <family val="2"/>
            </rPr>
            <t xml:space="preserve">收入与利润率</t>
          </r>
        </is>
      </c>
      <c r="B6" s="31"/>
      <c r="C6" s="31"/>
      <c r="D6" s="31"/>
      <c r="E6" s="31"/>
      <c r="F6" s="31"/>
      <c r="G6" s="31"/>
      <c r="H6" s="31"/>
      <c r="I6" s="31"/>
      <c r="J6" s="31"/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　收入增速：悲观</t>
          </r>
        </is>
      </c>
      <c r="B7" s="12"/>
      <c r="C7" s="12"/>
      <c r="D7" s="30">
        <v>0.25</v>
      </c>
      <c r="E7" s="30">
        <v>-0.18</v>
      </c>
      <c r="F7" s="30">
        <v>-0.1</v>
      </c>
      <c r="G7" s="30">
        <v>0.0</v>
      </c>
      <c r="H7" s="30">
        <v>0.02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　收入增速：基准</t>
          </r>
        </is>
      </c>
      <c r="B8" s="12"/>
      <c r="C8" s="12"/>
      <c r="D8" s="30">
        <v>0.4</v>
      </c>
      <c r="E8" s="30">
        <v>-0.1</v>
      </c>
      <c r="F8" s="30">
        <v>-0.08</v>
      </c>
      <c r="G8" s="30">
        <v>0.02</v>
      </c>
      <c r="H8" s="30">
        <v>0.03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　收入增速：乐观</t>
          </r>
        </is>
      </c>
      <c r="B9" s="12"/>
      <c r="C9" s="12"/>
      <c r="D9" s="30">
        <v>0.48</v>
      </c>
      <c r="E9" s="30">
        <v>0.0</v>
      </c>
      <c r="F9" s="30">
        <v>-0.06</v>
      </c>
      <c r="G9" s="30">
        <v>0.0</v>
      </c>
      <c r="H9" s="30">
        <v>0.03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收入增速（选用）</t>
          </r>
        </is>
      </c>
      <c r="B10" s="19"/>
      <c r="C10" s="39">
        <f>'三表-利润表'!C5/'三表-利润表'!B5-1</f>
        <v>0.09217047113309751</v>
      </c>
      <c r="D10" s="39">
        <f>CHOOSE($B$5,D7,D8,D9)</f>
        <v>0.4</v>
      </c>
      <c r="E10" s="39">
        <f>CHOOSE($B$5,E7,E8,E9)</f>
        <v>-0.1</v>
      </c>
      <c r="F10" s="39">
        <f>CHOOSE($B$5,F7,F8,F9)</f>
        <v>-0.08</v>
      </c>
      <c r="G10" s="39">
        <f>CHOOSE($B$5,G7,G8,G9)</f>
        <v>0.02</v>
      </c>
      <c r="H10" s="39">
        <f>CHOOSE($B$5,H7,H8,H9)</f>
        <v>0.03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实际期由历史收入反算；预测期按情景开关选用悲观、基准或乐观假设。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　毛利率：悲观</t>
          </r>
        </is>
      </c>
      <c r="B11" s="12"/>
      <c r="C11" s="12"/>
      <c r="D11" s="30">
        <v>0.4</v>
      </c>
      <c r="E11" s="30">
        <v>0.32</v>
      </c>
      <c r="F11" s="30">
        <v>0.26</v>
      </c>
      <c r="G11" s="30">
        <v>0.24000000000000002</v>
      </c>
      <c r="H11" s="30">
        <v>0.24000000000000002</v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　毛利率：基准</t>
          </r>
        </is>
      </c>
      <c r="B12" s="12"/>
      <c r="C12" s="12"/>
      <c r="D12" s="30">
        <v>0.44</v>
      </c>
      <c r="E12" s="30">
        <v>0.36</v>
      </c>
      <c r="F12" s="30">
        <v>0.3</v>
      </c>
      <c r="G12" s="30">
        <v>0.28</v>
      </c>
      <c r="H12" s="30">
        <v>0.28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　毛利率：乐观</t>
          </r>
        </is>
      </c>
      <c r="B13" s="12"/>
      <c r="C13" s="12"/>
      <c r="D13" s="30">
        <v>0.47</v>
      </c>
      <c r="E13" s="30">
        <v>0.39</v>
      </c>
      <c r="F13" s="30">
        <v>0.32999999999999996</v>
      </c>
      <c r="G13" s="30">
        <v>0.31000000000000005</v>
      </c>
      <c r="H13" s="30">
        <v>0.31000000000000005</v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毛利率（选用）</t>
          </r>
        </is>
      </c>
      <c r="B14" s="39">
        <f>1-'三表-利润表'!B6/'三表-利润表'!B5</f>
        <v>0.28420812447049193</v>
      </c>
      <c r="C14" s="39">
        <f>1-'三表-利润表'!C6/'三表-利润表'!C5</f>
        <v>0.2647424490148168</v>
      </c>
      <c r="D14" s="39">
        <f>CHOOSE($B$5,D11,D12,D13)</f>
        <v>0.44</v>
      </c>
      <c r="E14" s="39">
        <f>CHOOSE($B$5,E11,E12,E13)</f>
        <v>0.36</v>
      </c>
      <c r="F14" s="39">
        <f>CHOOSE($B$5,F11,F12,F13)</f>
        <v>0.3</v>
      </c>
      <c r="G14" s="39">
        <f>CHOOSE($B$5,G11,G12,G13)</f>
        <v>0.28</v>
      </c>
      <c r="H14" s="39">
        <f>CHOOSE($B$5,H11,H12,H13)</f>
        <v>0.28</v>
      </c>
      <c r="I14" s="2"/>
      <c r="J14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实际期由收入与营业成本反算；预测期按情景开关选用。</t>
          </r>
        </is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经营费用率（不含折旧摊销，含税金及附加）</t>
          </r>
        </is>
      </c>
      <c r="B15" s="14">
        <f>'三表-利润表'!B8/'三表-利润表'!B5</f>
        <v>-0.04986368745978795</v>
      </c>
      <c r="C15" s="14">
        <f>'三表-利润表'!C8/'三表-利润表'!C5</f>
        <v>-0.07155644891427072</v>
      </c>
      <c r="D15" s="30">
        <v>-0.05</v>
      </c>
      <c r="E15" s="30">
        <v>-0.05</v>
      </c>
      <c r="F15" s="30">
        <v>-0.05</v>
      </c>
      <c r="G15" s="30">
        <v>-0.05</v>
      </c>
      <c r="H15" s="30">
        <v>-0.05</v>
      </c>
      <c r="I15" s="2"/>
      <c r="J15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经营费用率不含折旧摊销，含税金及附加；预测期按收入比例计算。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所得税率</t>
          </r>
        </is>
      </c>
      <c r="B16" s="14">
        <f>'三表-利润表'!B16/'三表-利润表'!B15</f>
        <v>0.1248473014671508</v>
      </c>
      <c r="C16" s="14">
        <f>'三表-利润表'!C16/'三表-利润表'!C15</f>
        <v>0.11694074641333095</v>
      </c>
      <c r="D16" s="30">
        <v>0.11694074641333096</v>
      </c>
      <c r="E16" s="30">
        <v>0.11694074641333096</v>
      </c>
      <c r="F16" s="30">
        <v>0.11694074641333096</v>
      </c>
      <c r="G16" s="30">
        <v>0.11694074641333096</v>
      </c>
      <c r="H16" s="30">
        <v>0.11694074641333096</v>
      </c>
      <c r="I16" s="2"/>
      <c r="J16" s="2" t="inlineStr">
        <is>
          <r>
            <rPr>
              <i/>
              <sz val="9"/>
              <color rgb="FF595959"/>
              <rFont val="KaiTi"/>
              <family val="2"/>
            </rPr>
            <t xml:space="preserve">所得税率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所得税费用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利润总额；预测期用于计算账面税与现金税。</t>
          </r>
        </is>
      </c>
    </row>
    <row r="17" ht="20" customHeight="1">
      <c r="A17" s="12" t="inlineStr">
        <is>
          <r>
            <rPr>
              <sz val="12"/>
              <rFont val="KaiTi"/>
              <family val="2"/>
            </rPr>
            <t xml:space="preserve">现金分红率（占净利润）</t>
          </r>
        </is>
      </c>
      <c r="B17" s="12"/>
      <c r="C17" s="12"/>
      <c r="D17" s="30">
        <v>0.43</v>
      </c>
      <c r="E17" s="30">
        <v>0.43</v>
      </c>
      <c r="F17" s="30">
        <v>0.43</v>
      </c>
      <c r="G17" s="30">
        <v>0.43</v>
      </c>
      <c r="H17" s="30">
        <v>0.43</v>
      </c>
    </row>
    <row r="18" ht="20" customHeight="1">
      <c r="A18" s="31" t="inlineStr">
        <is>
          <r>
            <rPr>
              <b/>
              <sz val="12"/>
              <rFont val="KaiTi"/>
              <family val="2"/>
            </rPr>
            <t xml:space="preserve">营运资本（天）</t>
          </r>
        </is>
      </c>
      <c r="B18" s="31"/>
      <c r="C18" s="31"/>
      <c r="D18" s="31"/>
      <c r="E18" s="31"/>
      <c r="F18" s="31"/>
      <c r="G18" s="31"/>
      <c r="H18" s="31"/>
      <c r="I18" s="31"/>
      <c r="J18" s="31"/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　应收账款周转天数：悲观</t>
          </r>
        </is>
      </c>
      <c r="B19" s="12"/>
      <c r="C19" s="12"/>
      <c r="D19" s="25">
        <v>17.945351642375492</v>
      </c>
      <c r="E19" s="25">
        <v>17.945351642375492</v>
      </c>
      <c r="F19" s="25">
        <v>17.945351642375492</v>
      </c>
      <c r="G19" s="25">
        <v>17.945351642375492</v>
      </c>
      <c r="H19" s="25">
        <v>17.945351642375492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　应收账款周转天数：基准</t>
          </r>
        </is>
      </c>
      <c r="B20" s="12"/>
      <c r="C20" s="12"/>
      <c r="D20" s="25">
        <v>17.945351642375492</v>
      </c>
      <c r="E20" s="25">
        <v>17.945351642375492</v>
      </c>
      <c r="F20" s="25">
        <v>17.945351642375492</v>
      </c>
      <c r="G20" s="25">
        <v>17.945351642375492</v>
      </c>
      <c r="H20" s="25">
        <v>17.945351642375492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　应收账款周转天数：乐观</t>
          </r>
        </is>
      </c>
      <c r="B21" s="12"/>
      <c r="C21" s="12"/>
      <c r="D21" s="25">
        <v>17.945351642375492</v>
      </c>
      <c r="E21" s="25">
        <v>17.945351642375492</v>
      </c>
      <c r="F21" s="25">
        <v>17.945351642375492</v>
      </c>
      <c r="G21" s="25">
        <v>17.945351642375492</v>
      </c>
      <c r="H21" s="25">
        <v>17.945351642375492</v>
      </c>
    </row>
    <row r="22" ht="20" customHeight="1">
      <c r="A22" s="19" t="inlineStr">
        <is>
          <r>
            <rPr>
              <b/>
              <sz val="12"/>
              <rFont val="KaiTi"/>
              <family val="2"/>
            </rPr>
            <t xml:space="preserve">应收账款周转天数（选用）</t>
          </r>
        </is>
      </c>
      <c r="B22" s="40">
        <f>'三表-资产负债表'!B7/'三表-利润表'!B5*365</f>
        <v>16.243363205728457</v>
      </c>
      <c r="C22" s="40">
        <f>'三表-资产负债表'!C7/'三表-利润表'!C5*365</f>
        <v>17.945351642375492</v>
      </c>
      <c r="D22" s="40">
        <f>CHOOSE($B$5,D19,D20,D21)</f>
        <v>17.945351642375492</v>
      </c>
      <c r="E22" s="40">
        <f>CHOOSE($B$5,E19,E20,E21)</f>
        <v>17.945351642375492</v>
      </c>
      <c r="F22" s="40">
        <f>CHOOSE($B$5,F19,F20,F21)</f>
        <v>17.945351642375492</v>
      </c>
      <c r="G22" s="40">
        <f>CHOOSE($B$5,G19,G20,G21)</f>
        <v>17.945351642375492</v>
      </c>
      <c r="H22" s="40">
        <f>CHOOSE($B$5,H19,H20,H21)</f>
        <v>17.945351642375492</v>
      </c>
      <c r="I22" s="2"/>
      <c r="J22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存货周转天数（按营业成本）</t>
          </r>
        </is>
      </c>
      <c r="B23" s="15">
        <f>'三表-资产负债表'!B8/'三表-利润表'!B6*365</f>
        <v>28.034616859036568</v>
      </c>
      <c r="C23" s="15">
        <f>'三表-资产负债表'!C8/'三表-利润表'!C6*365</f>
        <v>23.10532044633847</v>
      </c>
      <c r="D23" s="22">
        <v>23.10532044633847</v>
      </c>
      <c r="E23" s="22">
        <v>23.10532044633847</v>
      </c>
      <c r="F23" s="22">
        <v>23.10532044633847</v>
      </c>
      <c r="G23" s="22">
        <v>23.10532044633847</v>
      </c>
      <c r="H23" s="22">
        <v>23.10532044633847</v>
      </c>
      <c r="I23" s="2"/>
      <c r="J23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应付账款周转天数（按营业成本）</t>
          </r>
        </is>
      </c>
      <c r="B24" s="15">
        <f>'三表-资产负债表'!B13/'三表-利润表'!B6*365</f>
        <v>36.76951027741694</v>
      </c>
      <c r="C24" s="15">
        <f>'三表-资产负债表'!C13/'三表-利润表'!C6*365</f>
        <v>32.3530262918766</v>
      </c>
      <c r="D24" s="22">
        <v>32.3530262918766</v>
      </c>
      <c r="E24" s="22">
        <v>32.3530262918766</v>
      </c>
      <c r="F24" s="22">
        <v>32.3530262918766</v>
      </c>
      <c r="G24" s="22">
        <v>32.3530262918766</v>
      </c>
      <c r="H24" s="22">
        <v>32.3530262918766</v>
      </c>
      <c r="I24" s="2"/>
      <c r="J24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31" t="inlineStr">
        <is>
          <r>
            <rPr>
              <b/>
              <sz val="12"/>
              <rFont val="KaiTi"/>
              <family val="2"/>
            </rPr>
            <t xml:space="preserve">资本开支、折旧与财务</t>
          </r>
        </is>
      </c>
      <c r="B25" s="31"/>
      <c r="C25" s="31"/>
      <c r="D25" s="31"/>
      <c r="E25" s="31"/>
      <c r="F25" s="31"/>
      <c r="G25" s="31"/>
      <c r="H25" s="31"/>
      <c r="I25" s="31"/>
      <c r="J25" s="31"/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收入：悲观</t>
          </r>
        </is>
      </c>
      <c r="B26" s="12"/>
      <c r="C26" s="12"/>
      <c r="D26" s="30">
        <v>0.3</v>
      </c>
      <c r="E26" s="30">
        <v>0.32</v>
      </c>
      <c r="F26" s="30">
        <v>0.27</v>
      </c>
      <c r="G26" s="30">
        <v>0.2</v>
      </c>
      <c r="H26" s="30">
        <v>0.14</v>
      </c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收入：基准</t>
          </r>
        </is>
      </c>
      <c r="B27" s="12"/>
      <c r="C27" s="12"/>
      <c r="D27" s="30">
        <v>0.28</v>
      </c>
      <c r="E27" s="30">
        <v>0.28</v>
      </c>
      <c r="F27" s="30">
        <v>0.24</v>
      </c>
      <c r="G27" s="30">
        <v>0.18</v>
      </c>
      <c r="H27" s="30">
        <v>0.13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　资本开支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收入：乐观</t>
          </r>
        </is>
      </c>
      <c r="B28" s="12"/>
      <c r="C28" s="12"/>
      <c r="D28" s="30">
        <v>0.26</v>
      </c>
      <c r="E28" s="30">
        <v>0.25</v>
      </c>
      <c r="F28" s="30">
        <v>0.22</v>
      </c>
      <c r="G28" s="30">
        <v>0.17</v>
      </c>
      <c r="H28" s="30">
        <v>0.13</v>
      </c>
    </row>
    <row r="29" ht="20" customHeight="1">
      <c r="A29" s="19" t="inlineStr">
        <is>
          <r>
            <rPr>
              <b/>
              <sz val="12"/>
              <rFont val="KaiTi"/>
              <family val="2"/>
            </rPr>
            <t xml:space="preserve">资本开支 </t>
          </r>
          <r>
            <rPr>
              <b/>
              <sz val="12"/>
              <rFont val="Arial"/>
              <family val="2"/>
            </rPr>
            <t xml:space="preserve">/ </t>
          </r>
          <r>
            <rPr>
              <b/>
              <sz val="12"/>
              <rFont val="KaiTi"/>
              <family val="2"/>
            </rPr>
            <t xml:space="preserve">收入（选用）</t>
          </r>
        </is>
      </c>
      <c r="B29" s="39">
        <f>-'三表-现金流量表'!B12/'三表-利润表'!B5</f>
        <v>0.2926529590882579</v>
      </c>
      <c r="C29" s="39">
        <f>-'三表-现金流量表'!C12/'三表-利润表'!C5</f>
        <v>0.2767086855724752</v>
      </c>
      <c r="D29" s="39">
        <f>CHOOSE($B$5,D26,D27,D28)</f>
        <v>0.28</v>
      </c>
      <c r="E29" s="39">
        <f>CHOOSE($B$5,E26,E27,E28)</f>
        <v>0.28</v>
      </c>
      <c r="F29" s="39">
        <f>CHOOSE($B$5,F26,F27,F28)</f>
        <v>0.24</v>
      </c>
      <c r="G29" s="39">
        <f>CHOOSE($B$5,G26,G27,G28)</f>
        <v>0.18</v>
      </c>
      <c r="H29" s="39">
        <f>CHOOSE($B$5,H26,H27,H28)</f>
        <v>0.13</v>
      </c>
      <c r="I29" s="2"/>
      <c r="J29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资本开支率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/ </t>
          </r>
          <r>
            <rPr>
              <i/>
              <sz val="9"/>
              <color rgb="FF595959"/>
              <rFont val="KaiTi"/>
              <family val="2"/>
            </rPr>
            <t xml:space="preserve">营业收入。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折旧率（期初 </t>
          </r>
          <r>
            <rPr>
              <sz val="12"/>
              <rFont val="Arial"/>
              <family val="2"/>
            </rPr>
            <t xml:space="preserve">PP&amp;E + </t>
          </r>
          <r>
            <rPr>
              <sz val="12"/>
              <rFont val="KaiTi"/>
              <family val="2"/>
            </rPr>
            <t xml:space="preserve">半年资本开支）</t>
          </r>
        </is>
      </c>
      <c r="B30" s="12"/>
      <c r="C30" s="14">
        <f>'三表-利润表'!C10/('三表-资产负债表'!B9-0.5*'三表-现金流量表'!C12)</f>
        <v>0.0471143983284448</v>
      </c>
      <c r="D30" s="30">
        <v>0.0471143983284448</v>
      </c>
      <c r="E30" s="30">
        <v>0.0471143983284448</v>
      </c>
      <c r="F30" s="30">
        <v>0.0471143983284448</v>
      </c>
      <c r="G30" s="30">
        <v>0.0471143983284448</v>
      </c>
      <c r="H30" s="30">
        <v>0.0471143983284448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利率（财务费用 </t>
          </r>
          <r>
            <rPr>
              <sz val="12"/>
              <rFont val="Arial"/>
              <family val="2"/>
            </rPr>
            <t xml:space="preserve">/ </t>
          </r>
          <r>
            <rPr>
              <sz val="12"/>
              <rFont val="KaiTi"/>
              <family val="2"/>
            </rPr>
            <t xml:space="preserve">平均有息负债；财务费用为净利息收入时为负）</t>
          </r>
        </is>
      </c>
      <c r="B31" s="12"/>
      <c r="C31" s="14">
        <f>'三表-利润表'!C12/AVERAGE('三表-资产负债表'!B14,'三表-资产负债表'!C14)</f>
        <v>0.04413110807186228</v>
      </c>
      <c r="D31" s="30">
        <v>0.04413110807186228</v>
      </c>
      <c r="E31" s="30">
        <v>0.04413110807186228</v>
      </c>
      <c r="F31" s="30">
        <v>0.04413110807186228</v>
      </c>
      <c r="G31" s="30">
        <v>0.04413110807186228</v>
      </c>
      <c r="H31" s="30">
        <v>0.04413110807186228</v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有息负债计划还款</t>
          </r>
        </is>
      </c>
      <c r="B32" s="12"/>
      <c r="C32" s="12"/>
      <c r="D32" s="22">
        <v>0.0</v>
      </c>
      <c r="E32" s="22">
        <v>0.0</v>
      </c>
      <c r="F32" s="22">
        <v>0.0</v>
      </c>
      <c r="G32" s="22">
        <v>0.0</v>
      </c>
      <c r="H32" s="22">
        <v>0.0</v>
      </c>
    </row>
    <row r="33" ht="20" customHeight="1">
      <c r="A33" s="31" t="inlineStr">
        <is>
          <r>
            <rPr>
              <b/>
              <sz val="12"/>
              <rFont val="KaiTi"/>
              <family val="2"/>
            </rPr>
            <t xml:space="preserve">估值参数（</t>
          </r>
          <r>
            <rPr>
              <b/>
              <sz val="12"/>
              <rFont val="Arial"/>
              <family val="2"/>
            </rPr>
            <t xml:space="preserve">DCF</t>
          </r>
          <r>
            <rPr>
              <b/>
              <sz val="12"/>
              <rFont val="KaiTi"/>
              <family val="2"/>
            </rPr>
            <t xml:space="preserve">，全预测期适用）</t>
          </r>
        </is>
      </c>
      <c r="B33" s="31"/>
      <c r="C33" s="31"/>
      <c r="D33" s="31"/>
      <c r="E33" s="31"/>
      <c r="F33" s="31"/>
      <c r="G33" s="31"/>
      <c r="H33" s="31"/>
      <c r="I33" s="31"/>
      <c r="J33" s="31"/>
    </row>
    <row r="34" ht="20" customHeight="1">
      <c r="A34" s="12" t="inlineStr">
        <is>
          <r>
            <rPr>
              <sz val="12"/>
              <rFont val="KaiTi"/>
              <family val="2"/>
            </rPr>
            <t xml:space="preserve">　永续增长率：悲观</t>
          </r>
        </is>
      </c>
      <c r="B34" s="12"/>
      <c r="C34" s="12"/>
      <c r="D34" s="28">
        <v>0.01</v>
      </c>
    </row>
    <row r="35" ht="20" customHeight="1">
      <c r="A35" s="12" t="inlineStr">
        <is>
          <r>
            <rPr>
              <sz val="12"/>
              <rFont val="KaiTi"/>
              <family val="2"/>
            </rPr>
            <t xml:space="preserve">　永续增长率：基准</t>
          </r>
        </is>
      </c>
      <c r="B35" s="12"/>
      <c r="C35" s="12"/>
      <c r="D35" s="28">
        <v>0.015</v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　永续增长率：乐观</t>
          </r>
        </is>
      </c>
      <c r="B36" s="12"/>
      <c r="C36" s="12"/>
      <c r="D36" s="28">
        <v>0.02</v>
      </c>
    </row>
    <row r="37" ht="20" customHeight="1">
      <c r="A37" s="19" t="inlineStr">
        <is>
          <r>
            <rPr>
              <b/>
              <sz val="12"/>
              <rFont val="KaiTi"/>
              <family val="2"/>
            </rPr>
            <t xml:space="preserve">永续增长率（选用）</t>
          </r>
        </is>
      </c>
      <c r="B37" s="19"/>
      <c r="C37" s="19"/>
      <c r="D37" s="29">
        <f>CHOOSE($B$5,D34,D35,D36)</f>
        <v>0.015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情景调整：悲观</t>
          </r>
        </is>
      </c>
      <c r="B38" s="12"/>
      <c r="C38" s="12"/>
      <c r="D38" s="28">
        <v>0.005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情景调整：基准</t>
          </r>
        </is>
      </c>
      <c r="B39" s="12"/>
      <c r="C39" s="12"/>
      <c r="D39" s="28">
        <v>0.0</v>
      </c>
    </row>
    <row r="40" ht="20" customHeight="1">
      <c r="A40" s="12" t="inlineStr">
        <is>
          <r>
            <rPr>
              <sz val="12"/>
              <rFont val="KaiTi"/>
              <family val="2"/>
            </rPr>
            <t xml:space="preserve">　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情景调整：乐观</t>
          </r>
        </is>
      </c>
      <c r="B40" s="12"/>
      <c r="C40" s="12"/>
      <c r="D40" s="28">
        <v>-0.0025</v>
      </c>
    </row>
    <row r="41" ht="20" customHeight="1">
      <c r="A41" s="19" t="inlineStr">
        <is>
          <r>
            <rPr>
              <b/>
              <sz val="12"/>
              <rFont val="Arial"/>
              <family val="2"/>
            </rPr>
            <t xml:space="preserve">WACC </t>
          </r>
          <r>
            <rPr>
              <b/>
              <sz val="12"/>
              <rFont val="KaiTi"/>
              <family val="2"/>
            </rPr>
            <t xml:space="preserve">情景调整（选用）</t>
          </r>
        </is>
      </c>
      <c r="B41" s="19"/>
      <c r="C41" s="19"/>
      <c r="D41" s="29">
        <f>CHOOSE($B$5,D38,D39,D40)</f>
        <v>0.0</v>
      </c>
    </row>
    <row r="42" ht="20" customHeight="1">
      <c r="A42" s="31" t="inlineStr">
        <is>
          <r>
            <rPr>
              <b/>
              <sz val="12"/>
              <rFont val="KaiTi"/>
              <family val="2"/>
            </rPr>
            <t xml:space="preserve">辅助计算：营运资本</t>
          </r>
        </is>
      </c>
      <c r="B42" s="31"/>
      <c r="C42" s="31"/>
      <c r="D42" s="31"/>
      <c r="E42" s="31"/>
      <c r="F42" s="31"/>
      <c r="G42" s="31"/>
      <c r="H42" s="31"/>
      <c r="I42" s="31"/>
      <c r="J42" s="31"/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43" s="23">
        <f>'三表-资产负债表'!B7</f>
        <v>1148.12894702</v>
      </c>
      <c r="C43" s="23">
        <f>'三表-资产负债表'!C7</f>
        <v>1385.34236182</v>
      </c>
      <c r="D43" s="15">
        <f>'三表-利润表'!D5*D22/365</f>
        <v>1939.4793065479998</v>
      </c>
      <c r="E43" s="15">
        <f>'三表-利润表'!E5*E22/365</f>
        <v>1745.5313758932</v>
      </c>
      <c r="F43" s="15">
        <f>'三表-利润表'!F5*F22/365</f>
        <v>1605.8888658217438</v>
      </c>
      <c r="G43" s="15">
        <f>'三表-利润表'!G5*G22/365</f>
        <v>1638.0066431381788</v>
      </c>
      <c r="H43" s="15">
        <f>'三表-利润表'!H5*H22/365</f>
        <v>1687.146842432324</v>
      </c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44" s="23">
        <f>'三表-资产负债表'!B8</f>
        <v>1418.39143829</v>
      </c>
      <c r="C44" s="23">
        <f>'三表-资产负债表'!C8</f>
        <v>1311.46477773</v>
      </c>
      <c r="D44" s="15">
        <f>'三表-利润表'!D6*D23/365</f>
        <v>1398.4057482478543</v>
      </c>
      <c r="E44" s="15">
        <f>'三表-利润表'!E6*E23/365</f>
        <v>1438.360198197793</v>
      </c>
      <c r="F44" s="15">
        <f>'三表-利润表'!F6*F23/365</f>
        <v>1447.3499494365292</v>
      </c>
      <c r="G44" s="15">
        <f>'三表-利润表'!G6*G23/365</f>
        <v>1518.4768612374103</v>
      </c>
      <c r="H44" s="15">
        <f>'三表-利润表'!H6*H23/365</f>
        <v>1564.0311670745325</v>
      </c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45" s="23">
        <f>'三表-资产负债表'!B13</f>
        <v>1860.32713876</v>
      </c>
      <c r="C45" s="23">
        <f>'三表-资产负债表'!C13</f>
        <v>1836.36727884</v>
      </c>
      <c r="D45" s="15">
        <f>'三表-利润表'!D6*D24/365</f>
        <v>1958.105625275752</v>
      </c>
      <c r="E45" s="15">
        <f>'三表-利润表'!E6*E24/365</f>
        <v>2014.0515002836305</v>
      </c>
      <c r="F45" s="15">
        <f>'三表-利润表'!F6*F24/365</f>
        <v>2026.6393221604033</v>
      </c>
      <c r="G45" s="15">
        <f>'三表-利润表'!G6*G24/365</f>
        <v>2126.234168849429</v>
      </c>
      <c r="H45" s="15">
        <f>'三表-利润表'!H6*H24/365</f>
        <v>2190.0211939149117</v>
      </c>
    </row>
    <row r="46" ht="20" customHeight="1">
      <c r="A46" s="19" t="inlineStr">
        <is>
          <r>
            <rPr>
              <b/>
              <sz val="12"/>
              <rFont val="KaiTi"/>
              <family val="2"/>
            </rPr>
            <t xml:space="preserve">营运资本（应收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存货 </t>
          </r>
          <r>
            <rPr>
              <b/>
              <sz val="12"/>
              <rFont val="Arial"/>
              <family val="2"/>
            </rPr>
            <t xml:space="preserve">− </t>
          </r>
          <r>
            <rPr>
              <b/>
              <sz val="12"/>
              <rFont val="KaiTi"/>
              <family val="2"/>
            </rPr>
            <t xml:space="preserve">应付）</t>
          </r>
        </is>
      </c>
      <c r="B46" s="24">
        <f>B43+B44-B45</f>
        <v>706.1932465500001</v>
      </c>
      <c r="C46" s="24">
        <f>C43+C44-C45</f>
        <v>860.4398607100002</v>
      </c>
      <c r="D46" s="24">
        <f>D43+D44-D45</f>
        <v>1379.7794295201022</v>
      </c>
      <c r="E46" s="24">
        <f>E43+E44-E45</f>
        <v>1169.8400738073624</v>
      </c>
      <c r="F46" s="24">
        <f>F43+F44-F45</f>
        <v>1026.5994930978698</v>
      </c>
      <c r="G46" s="24">
        <f>G43+G44-G45</f>
        <v>1030.2493355261604</v>
      </c>
      <c r="H46" s="24">
        <f>H43+H44-H45</f>
        <v>1061.156815591945</v>
      </c>
      <c r="I46" s="2"/>
      <c r="J46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经营营运资本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应付账款。</t>
          </r>
        </is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营运资本增加</t>
          </r>
        </is>
      </c>
      <c r="B47" s="12"/>
      <c r="C47" s="15">
        <f>C46-B46</f>
        <v>154.24661416000004</v>
      </c>
      <c r="D47" s="15">
        <f>D46-C46</f>
        <v>519.339568810102</v>
      </c>
      <c r="E47" s="15">
        <f>E46-D46</f>
        <v>-209.93935571273983</v>
      </c>
      <c r="F47" s="15">
        <f>F46-E46</f>
        <v>-143.24058070949263</v>
      </c>
      <c r="G47" s="15">
        <f>G46-F46</f>
        <v>3.64984242829064</v>
      </c>
      <c r="H47" s="15">
        <f>H46-G46</f>
        <v>30.90748006578451</v>
      </c>
    </row>
    <row r="48" ht="20" customHeight="1">
      <c r="A48" s="31" t="inlineStr">
        <is>
          <r>
            <rPr>
              <b/>
              <sz val="12"/>
              <rFont val="KaiTi"/>
              <family val="2"/>
            </rPr>
            <t xml:space="preserve">辅助计算：固定资产（固定资产 </t>
          </r>
          <r>
            <rPr>
              <b/>
              <sz val="12"/>
              <rFont val="Arial"/>
              <family val="2"/>
            </rPr>
            <t xml:space="preserve">+ </t>
          </r>
          <r>
            <rPr>
              <b/>
              <sz val="12"/>
              <rFont val="KaiTi"/>
              <family val="2"/>
            </rPr>
            <t xml:space="preserve">在建工程）</t>
          </r>
        </is>
      </c>
      <c r="B48" s="31"/>
      <c r="C48" s="31"/>
      <c r="D48" s="31"/>
      <c r="E48" s="31"/>
      <c r="F48" s="31"/>
      <c r="G48" s="31"/>
      <c r="H48" s="31"/>
      <c r="I48" s="31"/>
      <c r="J48" s="31"/>
    </row>
    <row r="49" ht="20" customHeight="1">
      <c r="A49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49" s="12"/>
      <c r="C49" s="12"/>
      <c r="D49" s="23">
        <f>'三表-资产负债表'!C9</f>
        <v>53587.47527954</v>
      </c>
      <c r="E49" s="15">
        <f>D52</f>
        <v>61848.000127113606</v>
      </c>
      <c r="F49" s="15">
        <f>E52</f>
        <v>68640.80866628567</v>
      </c>
      <c r="G49" s="15">
        <f>F52</f>
        <v>73061.29597783026</v>
      </c>
      <c r="H49" s="15">
        <f>G52</f>
        <v>75474.7171269038</v>
      </c>
    </row>
    <row r="50" ht="20" customHeight="1">
      <c r="A50" s="12" t="inlineStr">
        <is>
          <r>
            <rPr>
              <sz val="12"/>
              <rFont val="KaiTi"/>
              <family val="2"/>
            </rPr>
            <t xml:space="preserve">加：资本开支</t>
          </r>
        </is>
      </c>
      <c r="B50" s="12"/>
      <c r="C50" s="12"/>
      <c r="D50" s="15">
        <f>'三表-利润表'!D5*D29</f>
        <v>11045.4667637244</v>
      </c>
      <c r="E50" s="15">
        <f>'三表-利润表'!E5*E29</f>
        <v>9940.920087351962</v>
      </c>
      <c r="F50" s="15">
        <f>'三表-利润表'!F5*F29</f>
        <v>7839.125554597546</v>
      </c>
      <c r="G50" s="15">
        <f>'三表-利润表'!G5*G29</f>
        <v>5996.931049267123</v>
      </c>
      <c r="H50" s="15">
        <f>'三表-利润表'!H5*H29</f>
        <v>4461.050374982598</v>
      </c>
    </row>
    <row r="51" ht="20" customHeight="1">
      <c r="A51" s="12" t="inlineStr">
        <is>
          <r>
            <rPr>
              <sz val="12"/>
              <rFont val="KaiTi"/>
              <family val="2"/>
            </rPr>
            <t xml:space="preserve">减：折旧摊销</t>
          </r>
        </is>
      </c>
      <c r="B51" s="12"/>
      <c r="C51" s="12"/>
      <c r="D51" s="15">
        <f>(D49+0.5*D50)*D30</f>
        <v>2784.9419161507913</v>
      </c>
      <c r="E51" s="15">
        <f>(E49+0.5*E50)*E30</f>
        <v>3148.1115481799047</v>
      </c>
      <c r="F51" s="15">
        <f>(F49+0.5*F50)*F30</f>
        <v>3418.638243052949</v>
      </c>
      <c r="G51" s="15">
        <f>(G49+0.5*G50)*G30</f>
        <v>3583.509900193592</v>
      </c>
      <c r="H51" s="15">
        <f>(H49+0.5*H50)*H30</f>
        <v>3661.035738608734</v>
      </c>
    </row>
    <row r="52" ht="20" customHeight="1">
      <c r="A52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2" s="21">
        <f>'三表-资产负债表'!B9</f>
        <v>46966.3121521</v>
      </c>
      <c r="C52" s="21">
        <f>'三表-资产负债表'!C9</f>
        <v>53587.47527954</v>
      </c>
      <c r="D52" s="24">
        <f>MAX(0,D49+D50-D51)</f>
        <v>61848.000127113606</v>
      </c>
      <c r="E52" s="24">
        <f>MAX(0,E49+E50-E51)</f>
        <v>68640.80866628567</v>
      </c>
      <c r="F52" s="24">
        <f>MAX(0,F49+F50-F51)</f>
        <v>73061.29597783026</v>
      </c>
      <c r="G52" s="24">
        <f>MAX(0,G49+G50-G51)</f>
        <v>75474.7171269038</v>
      </c>
      <c r="H52" s="24">
        <f>MAX(0,H49+H50-H51)</f>
        <v>76274.73176327767</v>
      </c>
      <c r="I52" s="2"/>
      <c r="J52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 </t>
          </r>
          <r>
            <rPr>
              <i/>
              <sz val="9"/>
              <color rgb="FF595959"/>
              <rFont val="Arial"/>
              <family val="2"/>
            </rPr>
            <t xml:space="preserve">PP&amp;E = </t>
          </r>
          <r>
            <rPr>
              <i/>
              <sz val="9"/>
              <color rgb="FF595959"/>
              <rFont val="KaiTi"/>
              <family val="2"/>
            </rPr>
            <t xml:space="preserve">期初 </t>
          </r>
          <r>
            <rPr>
              <i/>
              <sz val="9"/>
              <color rgb="FF595959"/>
              <rFont val="Arial"/>
              <family val="2"/>
            </rPr>
            <t xml:space="preserve">PP&amp;E + </t>
          </r>
          <r>
            <rPr>
              <i/>
              <sz val="9"/>
              <color rgb="FF595959"/>
              <rFont val="KaiTi"/>
              <family val="2"/>
            </rPr>
            <t xml:space="preserve">资本开支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折旧摊销。</t>
          </r>
        </is>
      </c>
    </row>
    <row r="53" ht="20" customHeight="1">
      <c r="A53" s="31" t="inlineStr">
        <is>
          <r>
            <rPr>
              <b/>
              <sz val="12"/>
              <rFont val="KaiTi"/>
              <family val="2"/>
            </rPr>
            <t xml:space="preserve">辅助计算：有息负债与利息</t>
          </r>
        </is>
      </c>
      <c r="B53" s="31"/>
      <c r="C53" s="31"/>
      <c r="D53" s="31"/>
      <c r="E53" s="31"/>
      <c r="F53" s="31"/>
      <c r="G53" s="31"/>
      <c r="H53" s="31"/>
      <c r="I53" s="31"/>
      <c r="J53" s="31"/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期初余额</t>
          </r>
        </is>
      </c>
      <c r="B54" s="12"/>
      <c r="C54" s="12"/>
      <c r="D54" s="23">
        <f>'三表-资产负债表'!C14</f>
        <v>28397.929191509997</v>
      </c>
      <c r="E54" s="15">
        <f>D56</f>
        <v>28397.929191509997</v>
      </c>
      <c r="F54" s="15">
        <f>E56</f>
        <v>28397.929191509997</v>
      </c>
      <c r="G54" s="15">
        <f>F56</f>
        <v>28397.929191509997</v>
      </c>
      <c r="H54" s="15">
        <f>G56</f>
        <v>28397.929191509997</v>
      </c>
    </row>
    <row r="55" ht="20" customHeight="1">
      <c r="A55" s="12" t="inlineStr">
        <is>
          <r>
            <rPr>
              <sz val="12"/>
              <rFont val="KaiTi"/>
              <family val="2"/>
            </rPr>
            <t xml:space="preserve">减：偿还</t>
          </r>
        </is>
      </c>
      <c r="B55" s="12"/>
      <c r="C55" s="12"/>
      <c r="D55" s="15">
        <f>MIN(MAX(0,D32),D54)</f>
        <v>0.0</v>
      </c>
      <c r="E55" s="15">
        <f>MIN(MAX(0,E32),E54)</f>
        <v>0.0</v>
      </c>
      <c r="F55" s="15">
        <f>MIN(MAX(0,F32),F54)</f>
        <v>0.0</v>
      </c>
      <c r="G55" s="15">
        <f>MIN(MAX(0,G32),G54)</f>
        <v>0.0</v>
      </c>
      <c r="H55" s="15">
        <f>MIN(MAX(0,H32),H54)</f>
        <v>0.0</v>
      </c>
    </row>
    <row r="56" ht="20" customHeight="1">
      <c r="A56" s="19" t="inlineStr">
        <is>
          <r>
            <rPr>
              <b/>
              <sz val="12"/>
              <rFont val="KaiTi"/>
              <family val="2"/>
            </rPr>
            <t xml:space="preserve">期末余额</t>
          </r>
        </is>
      </c>
      <c r="B56" s="21">
        <f>'三表-资产负债表'!B14</f>
        <v>24159.626066859997</v>
      </c>
      <c r="C56" s="21">
        <f>'三表-资产负债表'!C14</f>
        <v>28397.929191509997</v>
      </c>
      <c r="D56" s="24">
        <f>D54-D55</f>
        <v>28397.929191509997</v>
      </c>
      <c r="E56" s="24">
        <f>E54-E55</f>
        <v>28397.929191509997</v>
      </c>
      <c r="F56" s="24">
        <f>F54-F55</f>
        <v>28397.929191509997</v>
      </c>
      <c r="G56" s="24">
        <f>G54-G55</f>
        <v>28397.929191509997</v>
      </c>
      <c r="H56" s="24">
        <f>H54-H55</f>
        <v>28397.929191509997</v>
      </c>
      <c r="I56" s="2"/>
      <c r="J56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期末有息负债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期初有息负债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计划偿还。</t>
          </r>
        </is>
      </c>
    </row>
    <row r="57" ht="20" customHeight="1">
      <c r="A57" s="12" t="inlineStr">
        <is>
          <r>
            <rPr>
              <sz val="12"/>
              <rFont val="KaiTi"/>
              <family val="2"/>
            </rPr>
            <t xml:space="preserve">利息费用（负数为净利息收入）</t>
          </r>
        </is>
      </c>
      <c r="B57" s="12"/>
      <c r="C57" s="12"/>
      <c r="D57" s="15">
        <f>MAX(0,D54-0.5*D55)*D31</f>
        <v>1253.2320821676203</v>
      </c>
      <c r="E57" s="15">
        <f>MAX(0,E54-0.5*E55)*E31</f>
        <v>1253.2320821676203</v>
      </c>
      <c r="F57" s="15">
        <f>MAX(0,F54-0.5*F55)*F31</f>
        <v>1253.2320821676203</v>
      </c>
      <c r="G57" s="15">
        <f>MAX(0,G54-0.5*G55)*G31</f>
        <v>1253.2320821676203</v>
      </c>
      <c r="H57" s="15">
        <f>MAX(0,H54-0.5*H55)*H31</f>
        <v>1253.2320821676203</v>
      </c>
    </row>
    <row r="58" ht="20" customHeight="1">
      <c r="A58" s="31" t="inlineStr">
        <is>
          <r>
            <rPr>
              <b/>
              <sz val="12"/>
              <rFont val="KaiTi"/>
              <family val="2"/>
            </rPr>
            <t xml:space="preserve">辅助计算：现金分红</t>
          </r>
        </is>
      </c>
      <c r="B58" s="31"/>
      <c r="C58" s="31"/>
      <c r="D58" s="31"/>
      <c r="E58" s="31"/>
      <c r="F58" s="31"/>
      <c r="G58" s="31"/>
      <c r="H58" s="31"/>
      <c r="I58" s="31"/>
      <c r="J58" s="31"/>
    </row>
    <row r="59" ht="20" customHeight="1">
      <c r="A59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59" s="12"/>
      <c r="C59" s="12"/>
      <c r="D59" s="15">
        <f>MAX(0,'三表-利润表'!D17)*D17</f>
        <v>5806.378556780343</v>
      </c>
      <c r="E59" s="15">
        <f>MAX(0,'三表-利润表'!E17)*E17</f>
        <v>3856.0120719972356</v>
      </c>
      <c r="F59" s="15">
        <f>MAX(0,'三表-利润表'!F17)*F17</f>
        <v>2566.9479394887308</v>
      </c>
      <c r="G59" s="15">
        <f>MAX(0,'三表-利润表'!G17)*G17</f>
        <v>2338.1480357830415</v>
      </c>
      <c r="H59" s="15">
        <f>MAX(0,'三表-利润表'!H17)*H17</f>
        <v>2433.9522899496574</v>
      </c>
    </row>
  </sheetData>
  <pageMargins left="0.5" right="0.5" top="0.6" bottom="0.6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三表联动模型：利润表（情景见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单位：百万元；蓝色为输入（报表值、驱动假设），黑色为公式，绿色为跨表引用；预测期由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三表</t>
          </r>
          <r>
            <rPr>
              <i/>
              <sz val="9"/>
              <color rgb="FF595959"/>
              <rFont val="Arial"/>
              <family val="2"/>
            </rPr>
            <t xml:space="preserve">-</t>
          </r>
          <r>
            <rPr>
              <i/>
              <sz val="9"/>
              <color rgb="FF595959"/>
              <rFont val="KaiTi"/>
              <family val="2"/>
            </rPr>
            <t xml:space="preserve">假设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驱动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利润表（百万元）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19" t="inlineStr">
        <is>
          <r>
            <rPr>
              <b/>
              <sz val="12"/>
              <rFont val="KaiTi"/>
              <family val="2"/>
            </rPr>
            <t xml:space="preserve">营业收入</t>
          </r>
        </is>
      </c>
      <c r="B5" s="20">
        <v>25799.2793952</v>
      </c>
      <c r="C5" s="20">
        <v>28177.21113195</v>
      </c>
      <c r="D5" s="24">
        <f>C5*(1+'三表-假设'!D10)</f>
        <v>39448.09558473</v>
      </c>
      <c r="E5" s="24">
        <f>D5*(1+'三表-假设'!E10)</f>
        <v>35503.286026257</v>
      </c>
      <c r="F5" s="24">
        <f>E5*(1+'三表-假设'!F10)</f>
        <v>32663.023144156443</v>
      </c>
      <c r="G5" s="24">
        <f>F5*(1+'三表-假设'!G10)</f>
        <v>33316.28360703957</v>
      </c>
      <c r="H5" s="24">
        <f>G5*(1+'三表-假设'!H10)</f>
        <v>34315.77211525076</v>
      </c>
      <c r="I5" s="2"/>
      <c r="J5" s="2" t="inlineStr">
        <is>
          <r>
            <rPr>
              <i/>
              <sz val="9"/>
              <color rgb="FF595959"/>
              <rFont val="KaiTi"/>
              <family val="2"/>
            </rPr>
            <t xml:space="preserve">实际期取合并利润表；预测期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上年收入 </t>
          </r>
          <r>
            <rPr>
              <i/>
              <sz val="9"/>
              <color rgb="FF595959"/>
              <rFont val="Arial"/>
              <family val="2"/>
            </rPr>
            <t xml:space="preserve">× (1 + </t>
          </r>
          <r>
            <rPr>
              <i/>
              <sz val="9"/>
              <color rgb="FF595959"/>
              <rFont val="KaiTi"/>
              <family val="2"/>
            </rPr>
            <t xml:space="preserve">收入增速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  <c r="B6" s="22">
        <v>18466.9145856</v>
      </c>
      <c r="C6" s="22">
        <v>20717.50725047</v>
      </c>
      <c r="D6" s="15">
        <f>D5*(1-'三表-假设'!D14)</f>
        <v>22090.9335274488</v>
      </c>
      <c r="E6" s="15">
        <f>E5*(1-'三表-假设'!E14)</f>
        <v>22722.10305680448</v>
      </c>
      <c r="F6" s="15">
        <f>F5*(1-'三表-假设'!F14)</f>
        <v>22864.11620090951</v>
      </c>
      <c r="G6" s="15">
        <f>G5*(1-'三表-假设'!G14)</f>
        <v>23987.72419706849</v>
      </c>
      <c r="H6" s="15">
        <f>H5*(1-'三表-假设'!H14)</f>
        <v>24707.355922980547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(1 − </t>
          </r>
          <r>
            <rPr>
              <i/>
              <sz val="9"/>
              <color rgb="FF595959"/>
              <rFont val="KaiTi"/>
              <family val="2"/>
            </rPr>
            <t xml:space="preserve">毛利率</t>
          </r>
          <r>
            <rPr>
              <i/>
              <sz val="9"/>
              <color rgb="FF595959"/>
              <rFont val="Arial"/>
              <family val="2"/>
            </rPr>
            <t xml:space="preserve">)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7" ht="20" customHeight="1">
      <c r="A7" s="19" t="inlineStr">
        <is>
          <r>
            <rPr>
              <b/>
              <sz val="12"/>
              <rFont val="KaiTi"/>
              <family val="2"/>
            </rPr>
            <t xml:space="preserve">毛利</t>
          </r>
        </is>
      </c>
      <c r="B7" s="24">
        <f>B5-B6</f>
        <v>7332.3648096</v>
      </c>
      <c r="C7" s="24">
        <f>C5-C6</f>
        <v>7459.70388148</v>
      </c>
      <c r="D7" s="24">
        <f>D5-D6</f>
        <v>17357.1620572812</v>
      </c>
      <c r="E7" s="24">
        <f>E5-E6</f>
        <v>12781.182969452522</v>
      </c>
      <c r="F7" s="24">
        <f>F5-F6</f>
        <v>9798.906943246933</v>
      </c>
      <c r="G7" s="24">
        <f>G5-G6</f>
        <v>9328.55940997108</v>
      </c>
      <c r="H7" s="24">
        <f>H5-H6</f>
        <v>9608.416192270211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营业成本。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经营费用（不含折旧摊销）</t>
          </r>
        </is>
      </c>
      <c r="B8" s="22">
        <v>-1286.4472044499998</v>
      </c>
      <c r="C8" s="22">
        <v>-2016.2611689100004</v>
      </c>
      <c r="D8" s="15">
        <f>D5*'三表-假设'!D15</f>
        <v>-1972.4047792365</v>
      </c>
      <c r="E8" s="15">
        <f>E5*'三表-假设'!E15</f>
        <v>-1775.1643013128503</v>
      </c>
      <c r="F8" s="15">
        <f>F5*'三表-假设'!F15</f>
        <v>-1633.1511572078223</v>
      </c>
      <c r="G8" s="15">
        <f>G5*'三表-假设'!G15</f>
        <v>-1665.8141803519786</v>
      </c>
      <c r="H8" s="15">
        <f>H5*'三表-假设'!H15</f>
        <v>-1715.788605762538</v>
      </c>
    </row>
    <row r="9" ht="20" customHeight="1">
      <c r="A9" s="19" t="inlineStr">
        <is>
          <t xml:space="preserve">EBITDA</t>
        </is>
      </c>
      <c r="B9" s="24">
        <f>B7-B8</f>
        <v>8618.81201405</v>
      </c>
      <c r="C9" s="24">
        <f>C7-C8</f>
        <v>9475.965050390001</v>
      </c>
      <c r="D9" s="24">
        <f>D7-D8</f>
        <v>19329.566836517697</v>
      </c>
      <c r="E9" s="24">
        <f>E7-E8</f>
        <v>14556.347270765373</v>
      </c>
      <c r="F9" s="24">
        <f>F7-F8</f>
        <v>11432.058100454755</v>
      </c>
      <c r="G9" s="24">
        <f>G7-G8</f>
        <v>10994.373590323059</v>
      </c>
      <c r="H9" s="24">
        <f>H7-H8</f>
        <v>11324.20479803275</v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折旧摊销</t>
          </r>
        </is>
      </c>
      <c r="B10" s="22">
        <v>2280.9717646199997</v>
      </c>
      <c r="C10" s="22">
        <v>2396.46217152</v>
      </c>
      <c r="D10" s="23">
        <f>'三表-假设'!D51</f>
        <v>2784.9419161507913</v>
      </c>
      <c r="E10" s="23">
        <f>'三表-假设'!E51</f>
        <v>3148.1115481799047</v>
      </c>
      <c r="F10" s="23">
        <f>'三表-假设'!F51</f>
        <v>3418.638243052949</v>
      </c>
      <c r="G10" s="23">
        <f>'三表-假设'!G51</f>
        <v>3583.509900193592</v>
      </c>
      <c r="H10" s="23">
        <f>'三表-假设'!H51</f>
        <v>3661.035738608734</v>
      </c>
    </row>
    <row r="11" ht="20" customHeight="1">
      <c r="A11" s="19" t="inlineStr">
        <is>
          <r>
            <rPr>
              <b/>
              <sz val="12"/>
              <rFont val="Arial"/>
              <family val="2"/>
            </rPr>
            <t xml:space="preserve">EBIT</t>
          </r>
          <r>
            <rPr>
              <b/>
              <sz val="12"/>
              <rFont val="KaiTi"/>
              <family val="2"/>
            </rPr>
            <t xml:space="preserve">（经营性）</t>
          </r>
        </is>
      </c>
      <c r="B11" s="24">
        <f>B9-B10</f>
        <v>6337.84024943</v>
      </c>
      <c r="C11" s="24">
        <f>C9-C10</f>
        <v>7079.502878870001</v>
      </c>
      <c r="D11" s="24">
        <f>D9-D10</f>
        <v>16544.624920366907</v>
      </c>
      <c r="E11" s="24">
        <f>E9-E10</f>
        <v>11408.235722585468</v>
      </c>
      <c r="F11" s="24">
        <f>F9-F10</f>
        <v>8013.419857401806</v>
      </c>
      <c r="G11" s="24">
        <f>G9-G10</f>
        <v>7410.863690129467</v>
      </c>
      <c r="H11" s="24">
        <f>H9-H10</f>
        <v>7663.169059424015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= </t>
          </r>
          <r>
            <rPr>
              <i/>
              <sz val="9"/>
              <color rgb="FF595959"/>
              <rFont val="KaiTi"/>
              <family val="2"/>
            </rPr>
            <t xml:space="preserve">毛利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经营费用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折旧摊销；不含投资收益与公允价值变动收益。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利息费用（财务费用）</t>
          </r>
        </is>
      </c>
      <c r="B12" s="22">
        <v>1056.53912301</v>
      </c>
      <c r="C12" s="22">
        <v>1159.71157555</v>
      </c>
      <c r="D12" s="23">
        <f>'三表-假设'!D57</f>
        <v>1253.2320821676203</v>
      </c>
      <c r="E12" s="23">
        <f>'三表-假设'!E57</f>
        <v>1253.2320821676203</v>
      </c>
      <c r="F12" s="23">
        <f>'三表-假设'!F57</f>
        <v>1253.2320821676203</v>
      </c>
      <c r="G12" s="23">
        <f>'三表-假设'!G57</f>
        <v>1253.2320821676203</v>
      </c>
      <c r="H12" s="23">
        <f>'三表-假设'!H57</f>
        <v>1253.2320821676203</v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经营性税前利润</t>
          </r>
        </is>
      </c>
      <c r="B13" s="15">
        <f>B11-B12</f>
        <v>5281.3011264199995</v>
      </c>
      <c r="C13" s="15">
        <f>C11-C12</f>
        <v>5919.791303320001</v>
      </c>
      <c r="D13" s="15">
        <f>D11-D12</f>
        <v>15291.392838199286</v>
      </c>
      <c r="E13" s="15">
        <f>E11-E12</f>
        <v>10155.003640417848</v>
      </c>
      <c r="F13" s="15">
        <f>F11-F12</f>
        <v>6760.187775234186</v>
      </c>
      <c r="G13" s="15">
        <f>G11-G12</f>
        <v>6157.631607961846</v>
      </c>
      <c r="H13" s="15">
        <f>H11-H12</f>
        <v>6409.936977256395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加：投资收益与公允价值变动</t>
          </r>
        </is>
      </c>
      <c r="B14" s="22">
        <v>671.0359428400001</v>
      </c>
      <c r="C14" s="22">
        <v>954.84711098</v>
      </c>
      <c r="D14" s="22">
        <v>0.0</v>
      </c>
      <c r="E14" s="22">
        <v>0.0</v>
      </c>
      <c r="F14" s="22">
        <v>0.0</v>
      </c>
      <c r="G14" s="22">
        <v>0.0</v>
      </c>
      <c r="H14" s="22">
        <v>0.0</v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</t>
          </r>
        </is>
      </c>
      <c r="B15" s="24">
        <f>B13+B14</f>
        <v>5952.337069259999</v>
      </c>
      <c r="C15" s="24">
        <f>C13+C14</f>
        <v>6874.638414300001</v>
      </c>
      <c r="D15" s="24">
        <f>D13+D14</f>
        <v>15291.392838199286</v>
      </c>
      <c r="E15" s="24">
        <f>E13+E14</f>
        <v>10155.003640417848</v>
      </c>
      <c r="F15" s="24">
        <f>F13+F14</f>
        <v>6760.187775234186</v>
      </c>
      <c r="G15" s="24">
        <f>G13+G14</f>
        <v>6157.631607961846</v>
      </c>
      <c r="H15" s="24">
        <f>H13+H14</f>
        <v>6409.936977256395</v>
      </c>
      <c r="I15" s="2"/>
      <c r="J15" s="2" t="inlineStr">
        <is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经营 </t>
          </r>
          <r>
            <rPr>
              <i/>
              <sz val="9"/>
              <color rgb="FF595959"/>
              <rFont val="Arial"/>
              <family val="2"/>
            </rPr>
            <t xml:space="preserve">EBIT − </t>
          </r>
          <r>
            <rPr>
              <i/>
              <sz val="9"/>
              <color rgb="FF595959"/>
              <rFont val="KaiTi"/>
              <family val="2"/>
            </rPr>
            <t xml:space="preserve">利息费用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投资收益及公允价值变动收益。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减：所得税</t>
          </r>
        </is>
      </c>
      <c r="B16" s="22">
        <v>743.13322052</v>
      </c>
      <c r="C16" s="22">
        <v>803.92534749</v>
      </c>
      <c r="D16" s="15">
        <f>MAX(D15,0)*'三表-假设'!D16</f>
        <v>1788.186892198488</v>
      </c>
      <c r="E16" s="15">
        <f>MAX(E15,0)*'三表-假设'!E16</f>
        <v>1187.5337055405564</v>
      </c>
      <c r="F16" s="15">
        <f>MAX(F15,0)*'三表-假设'!F16</f>
        <v>790.541404330161</v>
      </c>
      <c r="G16" s="15">
        <f>MAX(G15,0)*'三表-假设'!G16</f>
        <v>720.0780363733777</v>
      </c>
      <c r="H16" s="15">
        <f>MAX(H15,0)*'三表-假设'!H16</f>
        <v>749.5828145827733</v>
      </c>
    </row>
    <row r="17" ht="20" customHeight="1">
      <c r="A17" s="5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17" s="8">
        <f>B15-B16</f>
        <v>5209.20384874</v>
      </c>
      <c r="C17" s="8">
        <f>C15-C16</f>
        <v>6070.713066810002</v>
      </c>
      <c r="D17" s="8">
        <f>D15-D16</f>
        <v>13503.205946000799</v>
      </c>
      <c r="E17" s="8">
        <f>E15-E16</f>
        <v>8967.469934877292</v>
      </c>
      <c r="F17" s="8">
        <f>F15-F16</f>
        <v>5969.646370904025</v>
      </c>
      <c r="G17" s="8">
        <f>G15-G16</f>
        <v>5437.553571588469</v>
      </c>
      <c r="H17" s="8">
        <f>H15-H16</f>
        <v>5660.354162673621</v>
      </c>
      <c r="I17" s="2"/>
      <c r="J17" s="2" t="inlineStr">
        <is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利润总额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所得税费用。</t>
          </r>
        </is>
      </c>
    </row>
    <row r="18" ht="20" customHeight="1"/>
    <row r="19" ht="20" customHeight="1">
      <c r="A19" s="31" t="inlineStr">
        <is>
          <r>
            <rPr>
              <b/>
              <sz val="12"/>
              <rFont val="KaiTi"/>
              <family val="2"/>
            </rPr>
            <t xml:space="preserve">主要比率</t>
          </r>
        </is>
      </c>
      <c r="B19" s="31"/>
      <c r="C19" s="31"/>
      <c r="D19" s="31"/>
      <c r="E19" s="31"/>
      <c r="F19" s="31"/>
      <c r="G19" s="31"/>
      <c r="H19" s="31"/>
      <c r="I19" s="31"/>
      <c r="J19" s="31"/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营业收入增长率</t>
          </r>
        </is>
      </c>
      <c r="B20" s="12"/>
      <c r="C20" s="14">
        <f>C5/B5-1</f>
        <v>0.09217047113309751</v>
      </c>
      <c r="D20" s="14">
        <f>D5/C5-1</f>
        <v>0.3999999999999999</v>
      </c>
      <c r="E20" s="14">
        <f>E5/D5-1</f>
        <v>-0.09999999999999987</v>
      </c>
      <c r="F20" s="14">
        <f>F5/E5-1</f>
        <v>-0.07999999999999996</v>
      </c>
      <c r="G20" s="14">
        <f>G5/F5-1</f>
        <v>0.020000000000000018</v>
      </c>
      <c r="H20" s="14">
        <f>H5/G5-1</f>
        <v>0.030000000000000027</v>
      </c>
    </row>
    <row r="21" ht="20" customHeight="1">
      <c r="A21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21" s="14">
        <f>B7/B5</f>
        <v>0.28420812447049193</v>
      </c>
      <c r="C21" s="14">
        <f>C7/C5</f>
        <v>0.26474244901481675</v>
      </c>
      <c r="D21" s="14">
        <f>D7/D5</f>
        <v>0.44</v>
      </c>
      <c r="E21" s="14">
        <f>E7/E5</f>
        <v>0.36000000000000004</v>
      </c>
      <c r="F21" s="14">
        <f>F7/F5</f>
        <v>0.3</v>
      </c>
      <c r="G21" s="14">
        <f>G7/G5</f>
        <v>0.27999999999999997</v>
      </c>
      <c r="H21" s="14">
        <f>H7/H5</f>
        <v>0.27999999999999997</v>
      </c>
    </row>
    <row r="22" ht="20" customHeight="1">
      <c r="A22" s="12" t="inlineStr">
        <is>
          <r>
            <rPr>
              <sz val="12"/>
              <rFont val="Arial"/>
              <family val="2"/>
            </rPr>
            <t xml:space="preserve">EBIT </t>
          </r>
          <r>
            <rPr>
              <sz val="12"/>
              <rFont val="KaiTi"/>
              <family val="2"/>
            </rPr>
            <t xml:space="preserve">利润率</t>
          </r>
        </is>
      </c>
      <c r="B22" s="14">
        <f>B11/B5</f>
        <v>0.24565958422114556</v>
      </c>
      <c r="C22" s="14">
        <f>C11/C5</f>
        <v>0.2512492398810395</v>
      </c>
      <c r="D22" s="14">
        <f>D11/D5</f>
        <v>0.4194023735526331</v>
      </c>
      <c r="E22" s="14">
        <f>E11/E5</f>
        <v>0.3213290092119454</v>
      </c>
      <c r="F22" s="14">
        <f>F11/F5</f>
        <v>0.24533613505507504</v>
      </c>
      <c r="G22" s="14">
        <f>G11/G5</f>
        <v>0.22243968677717663</v>
      </c>
      <c r="H22" s="14">
        <f>H11/H5</f>
        <v>0.22331332174858212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23" s="14">
        <f>B17/B5</f>
        <v>0.20191276542821507</v>
      </c>
      <c r="C23" s="14">
        <f>C17/C5</f>
        <v>0.21544761965198359</v>
      </c>
      <c r="D23" s="14">
        <f>D17/D5</f>
        <v>0.34230311364454735</v>
      </c>
      <c r="E23" s="14">
        <f>E17/E5</f>
        <v>0.25258140692231307</v>
      </c>
      <c r="F23" s="14">
        <f>F17/F5</f>
        <v>0.1827646615733431</v>
      </c>
      <c r="G23" s="14">
        <f>G17/G5</f>
        <v>0.1632100877673985</v>
      </c>
      <c r="H23" s="14">
        <f>H17/H5</f>
        <v>0.1649490544366339</v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有效税率</t>
          </r>
        </is>
      </c>
      <c r="B24" s="14">
        <f>B16/B15</f>
        <v>0.1248473014671508</v>
      </c>
      <c r="C24" s="14">
        <f>C16/C15</f>
        <v>0.11694074641333095</v>
      </c>
      <c r="D24" s="14">
        <f>D16/D15</f>
        <v>0.11694074641333096</v>
      </c>
      <c r="E24" s="14">
        <f>E16/E15</f>
        <v>0.11694074641333096</v>
      </c>
      <c r="F24" s="14">
        <f>F16/F15</f>
        <v>0.11694074641333096</v>
      </c>
      <c r="G24" s="14">
        <f>G16/G15</f>
        <v>0.11694074641333096</v>
      </c>
      <c r="H24" s="14">
        <f>H16/H15</f>
        <v>0.11694074641333096</v>
      </c>
    </row>
  </sheetData>
  <pageMargins left="0.5" right="0.5" top="0.6" bottom="0.6" header="0.3" footer="0.3"/>
  <pageSetup paperSize="9" orientation="landscape" fitToWidth="1" fitToHeight="0"/>
</worksheet>
</file>

<file path=xl/worksheets/sheet9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三表联动模型：资产负债表（情景见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单位：百万元；蓝色为输入（报表值、驱动假设），黑色为公式，绿色为跨表引用；权益（含少数股东）合并列示，留存收益为预测期累计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资产负债表（百万元）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资产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  <c r="B6" s="22">
        <v>4589.22680324</v>
      </c>
      <c r="C6" s="22">
        <v>4720.9146631</v>
      </c>
      <c r="D6" s="23">
        <f>'三表-现金流量表'!D21</f>
        <v>3637.877635936745</v>
      </c>
      <c r="E6" s="23">
        <f>'三表-现金流量表'!E21</f>
        <v>2166.4663153574847</v>
      </c>
      <c r="F6" s="23">
        <f>'三表-现金流量表'!F21</f>
        <v>1291.9180159376751</v>
      </c>
      <c r="G6" s="23">
        <f>'三表-现金流量表'!G21</f>
        <v>1974.2525602412816</v>
      </c>
      <c r="H6" s="23">
        <f>'三表-现金流量表'!H21</f>
        <v>4369.732316525597</v>
      </c>
      <c r="I6" s="2"/>
      <c r="J6" s="2" t="inlineStr">
        <is>
          <r>
            <rPr>
              <i/>
              <sz val="9"/>
              <color rgb="FF595959"/>
              <rFont val="KaiTi"/>
              <family val="2"/>
            </rPr>
            <t xml:space="preserve">预测期货币资金引用现金流量表期末现金。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  <c r="B7" s="22">
        <v>1148.12894702</v>
      </c>
      <c r="C7" s="22">
        <v>1385.34236182</v>
      </c>
      <c r="D7" s="23">
        <f>'三表-假设'!D43</f>
        <v>1939.4793065479998</v>
      </c>
      <c r="E7" s="23">
        <f>'三表-假设'!E43</f>
        <v>1745.5313758932</v>
      </c>
      <c r="F7" s="23">
        <f>'三表-假设'!F43</f>
        <v>1605.8888658217438</v>
      </c>
      <c r="G7" s="23">
        <f>'三表-假设'!G43</f>
        <v>1638.0066431381788</v>
      </c>
      <c r="H7" s="23">
        <f>'三表-假设'!H43</f>
        <v>1687.146842432324</v>
      </c>
      <c r="I7" s="2"/>
      <c r="J7" s="2" t="inlineStr">
        <is>
          <r>
            <rPr>
              <i/>
              <sz val="9"/>
              <color rgb="FF595959"/>
              <rFont val="KaiTi"/>
              <family val="2"/>
            </rPr>
            <t xml:space="preserve">应收账款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营业收入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应收账款周转天数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存货</t>
          </r>
        </is>
      </c>
      <c r="B8" s="22">
        <v>1418.39143829</v>
      </c>
      <c r="C8" s="22">
        <v>1311.46477773</v>
      </c>
      <c r="D8" s="23">
        <f>'三表-假设'!D44</f>
        <v>1398.4057482478543</v>
      </c>
      <c r="E8" s="23">
        <f>'三表-假设'!E44</f>
        <v>1438.360198197793</v>
      </c>
      <c r="F8" s="23">
        <f>'三表-假设'!F44</f>
        <v>1447.3499494365292</v>
      </c>
      <c r="G8" s="23">
        <f>'三表-假设'!G44</f>
        <v>1518.4768612374103</v>
      </c>
      <c r="H8" s="23">
        <f>'三表-假设'!H44</f>
        <v>1564.0311670745325</v>
      </c>
      <c r="I8" s="2"/>
      <c r="J8" s="2" t="inlineStr">
        <is>
          <r>
            <rPr>
              <i/>
              <sz val="9"/>
              <color rgb="FF595959"/>
              <rFont val="KaiTi"/>
              <family val="2"/>
            </rPr>
            <t xml:space="preserve">存货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存货周转天数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固定资产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在建工程</t>
          </r>
        </is>
      </c>
      <c r="B9" s="22">
        <v>46966.3121521</v>
      </c>
      <c r="C9" s="22">
        <v>53587.47527954</v>
      </c>
      <c r="D9" s="23">
        <f>'三表-假设'!D52</f>
        <v>61848.000127113606</v>
      </c>
      <c r="E9" s="23">
        <f>'三表-假设'!E52</f>
        <v>68640.80866628567</v>
      </c>
      <c r="F9" s="23">
        <f>'三表-假设'!F52</f>
        <v>73061.29597783026</v>
      </c>
      <c r="G9" s="23">
        <f>'三表-假设'!G52</f>
        <v>75474.7171269038</v>
      </c>
      <c r="H9" s="23">
        <f>'三表-假设'!H52</f>
        <v>76274.73176327767</v>
      </c>
      <c r="I9" s="2"/>
      <c r="J9" s="2" t="inlineStr">
        <is>
          <r>
            <rPr>
              <i/>
              <sz val="9"/>
              <color rgb="FF595959"/>
              <rFont val="KaiTi"/>
              <family val="2"/>
            </rPr>
            <t xml:space="preserve">固定资产及在建工程引用固定资产滚动辅助计算。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其他资产（含财务公司类现金资产）</t>
          </r>
        </is>
      </c>
      <c r="B10" s="22">
        <v>16497.249010980013</v>
      </c>
      <c r="C10" s="22">
        <v>21049.682996699994</v>
      </c>
      <c r="D10" s="15">
        <f>C10</f>
        <v>21049.682996699994</v>
      </c>
      <c r="E10" s="15">
        <f>D10</f>
        <v>21049.682996699994</v>
      </c>
      <c r="F10" s="15">
        <f>E10</f>
        <v>21049.682996699994</v>
      </c>
      <c r="G10" s="15">
        <f>F10</f>
        <v>21049.682996699994</v>
      </c>
      <c r="H10" s="15">
        <f>G10</f>
        <v>21049.682996699994</v>
      </c>
    </row>
    <row r="11" ht="20" customHeight="1">
      <c r="A11" s="19" t="inlineStr">
        <is>
          <r>
            <rPr>
              <b/>
              <sz val="12"/>
              <rFont val="KaiTi"/>
              <family val="2"/>
            </rPr>
            <t xml:space="preserve">资产总计</t>
          </r>
        </is>
      </c>
      <c r="B11" s="24">
        <f>SUM(B6:B10)</f>
        <v>70619.30835163001</v>
      </c>
      <c r="C11" s="24">
        <f>SUM(C6:C10)</f>
        <v>82054.88007889</v>
      </c>
      <c r="D11" s="24">
        <f>SUM(D6:D10)</f>
        <v>89873.4458145462</v>
      </c>
      <c r="E11" s="24">
        <f>SUM(E6:E10)</f>
        <v>95040.84955243414</v>
      </c>
      <c r="F11" s="24">
        <f>SUM(F6:F10)</f>
        <v>98456.1358057262</v>
      </c>
      <c r="G11" s="24">
        <f>SUM(G6:G10)</f>
        <v>101655.13618822065</v>
      </c>
      <c r="H11" s="24">
        <f>SUM(H6:H10)</f>
        <v>104945.32508601011</v>
      </c>
      <c r="I11" s="2"/>
      <c r="J11" s="2" t="inlineStr">
        <is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各项资产合计。</t>
          </r>
        </is>
      </c>
    </row>
    <row r="12" ht="20" customHeight="1">
      <c r="A12" s="31" t="inlineStr">
        <is>
          <r>
            <rPr>
              <b/>
              <sz val="12"/>
              <rFont val="KaiTi"/>
              <family val="2"/>
            </rPr>
            <t xml:space="preserve">负债</t>
          </r>
        </is>
      </c>
      <c r="B12" s="31"/>
      <c r="C12" s="31"/>
      <c r="D12" s="31"/>
      <c r="E12" s="31"/>
      <c r="F12" s="31"/>
      <c r="G12" s="31"/>
      <c r="H12" s="31"/>
      <c r="I12" s="31"/>
      <c r="J12" s="31"/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  <c r="B13" s="22">
        <v>1860.32713876</v>
      </c>
      <c r="C13" s="22">
        <v>1836.36727884</v>
      </c>
      <c r="D13" s="23">
        <f>'三表-假设'!D45</f>
        <v>1958.105625275752</v>
      </c>
      <c r="E13" s="23">
        <f>'三表-假设'!E45</f>
        <v>2014.0515002836305</v>
      </c>
      <c r="F13" s="23">
        <f>'三表-假设'!F45</f>
        <v>2026.6393221604033</v>
      </c>
      <c r="G13" s="23">
        <f>'三表-假设'!G45</f>
        <v>2126.234168849429</v>
      </c>
      <c r="H13" s="23">
        <f>'三表-假设'!H45</f>
        <v>2190.0211939149117</v>
      </c>
      <c r="I13" s="2"/>
      <c r="J13" s="2" t="inlineStr">
        <is>
          <r>
            <rPr>
              <i/>
              <sz val="9"/>
              <color rgb="FF595959"/>
              <rFont val="KaiTi"/>
              <family val="2"/>
            </rPr>
            <t xml:space="preserve">应付账款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营业成本 </t>
          </r>
          <r>
            <rPr>
              <i/>
              <sz val="9"/>
              <color rgb="FF595959"/>
              <rFont val="Arial"/>
              <family val="2"/>
            </rPr>
            <t xml:space="preserve">× </t>
          </r>
          <r>
            <rPr>
              <i/>
              <sz val="9"/>
              <color rgb="FF595959"/>
              <rFont val="KaiTi"/>
              <family val="2"/>
            </rPr>
            <t xml:space="preserve">应付账款周转天数 </t>
          </r>
          <r>
            <rPr>
              <i/>
              <sz val="9"/>
              <color rgb="FF595959"/>
              <rFont val="Arial"/>
              <family val="2"/>
            </rPr>
            <t xml:space="preserve">/ 365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有息负债（含租赁负债）</t>
          </r>
        </is>
      </c>
      <c r="B14" s="22">
        <v>24159.626066859997</v>
      </c>
      <c r="C14" s="22">
        <v>28397.929191509997</v>
      </c>
      <c r="D14" s="23">
        <f>'三表-假设'!D56</f>
        <v>28397.929191509997</v>
      </c>
      <c r="E14" s="23">
        <f>'三表-假设'!E56</f>
        <v>28397.929191509997</v>
      </c>
      <c r="F14" s="23">
        <f>'三表-假设'!F56</f>
        <v>28397.929191509997</v>
      </c>
      <c r="G14" s="23">
        <f>'三表-假设'!G56</f>
        <v>28397.929191509997</v>
      </c>
      <c r="H14" s="23">
        <f>'三表-假设'!H56</f>
        <v>28397.929191509997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其他负债</t>
          </r>
        </is>
      </c>
      <c r="B15" s="22">
        <v>3750.1691714000044</v>
      </c>
      <c r="C15" s="22">
        <v>8065.790172590008</v>
      </c>
      <c r="D15" s="15">
        <f>C15</f>
        <v>8065.790172590008</v>
      </c>
      <c r="E15" s="15">
        <f>D15</f>
        <v>8065.790172590008</v>
      </c>
      <c r="F15" s="15">
        <f>E15</f>
        <v>8065.790172590008</v>
      </c>
      <c r="G15" s="15">
        <f>F15</f>
        <v>8065.790172590008</v>
      </c>
      <c r="H15" s="15">
        <f>G15</f>
        <v>8065.790172590008</v>
      </c>
    </row>
    <row r="16" ht="20" customHeight="1">
      <c r="A16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  <c r="B16" s="24">
        <f>SUM(B13:B15)</f>
        <v>29770.12237702</v>
      </c>
      <c r="C16" s="24">
        <f>SUM(C13:C15)</f>
        <v>38300.086642940005</v>
      </c>
      <c r="D16" s="24">
        <f>SUM(D13:D15)</f>
        <v>38421.82498937576</v>
      </c>
      <c r="E16" s="24">
        <f>SUM(E13:E15)</f>
        <v>38477.77086438364</v>
      </c>
      <c r="F16" s="24">
        <f>SUM(F13:F15)</f>
        <v>38490.35868626041</v>
      </c>
      <c r="G16" s="24">
        <f>SUM(G13:G15)</f>
        <v>38589.95353294943</v>
      </c>
      <c r="H16" s="24">
        <f>SUM(H13:H15)</f>
        <v>38653.74055801492</v>
      </c>
    </row>
    <row r="17" ht="20" customHeight="1">
      <c r="A17" s="31" t="inlineStr">
        <is>
          <r>
            <rPr>
              <b/>
              <sz val="12"/>
              <rFont val="KaiTi"/>
              <family val="2"/>
            </rPr>
            <t xml:space="preserve">所有者权益</t>
          </r>
        </is>
      </c>
      <c r="B17" s="31"/>
      <c r="C17" s="31"/>
      <c r="D17" s="31"/>
      <c r="E17" s="31"/>
      <c r="F17" s="31"/>
      <c r="G17" s="31"/>
      <c r="H17" s="31"/>
      <c r="I17" s="31"/>
      <c r="J17" s="31"/>
    </row>
    <row r="18" ht="20" customHeight="1">
      <c r="A18" s="12" t="inlineStr">
        <is>
          <r>
            <rPr>
              <sz val="12"/>
              <rFont val="KaiTi"/>
              <family val="2"/>
            </rPr>
            <t xml:space="preserve">股本、资本公积及其他权益</t>
          </r>
        </is>
      </c>
      <c r="B18" s="22">
        <v>40849.18597461</v>
      </c>
      <c r="C18" s="22">
        <v>43754.79343595</v>
      </c>
      <c r="D18" s="15">
        <f>C18</f>
        <v>43754.79343595</v>
      </c>
      <c r="E18" s="15">
        <f>D18</f>
        <v>43754.79343595</v>
      </c>
      <c r="F18" s="15">
        <f>E18</f>
        <v>43754.79343595</v>
      </c>
      <c r="G18" s="15">
        <f>F18</f>
        <v>43754.79343595</v>
      </c>
      <c r="H18" s="15">
        <f>G18</f>
        <v>43754.79343595</v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留存收益（预测期累计）</t>
          </r>
        </is>
      </c>
      <c r="B19" s="22">
        <v>0.0</v>
      </c>
      <c r="C19" s="22">
        <v>0.0</v>
      </c>
      <c r="D19" s="15">
        <f>C19+'三表-利润表'!D17-'三表-假设'!D59</f>
        <v>7696.827389220455</v>
      </c>
      <c r="E19" s="15">
        <f>D19+'三表-利润表'!E17-'三表-假设'!E59</f>
        <v>12808.285252100512</v>
      </c>
      <c r="F19" s="15">
        <f>E19+'三表-利润表'!F17-'三表-假设'!F59</f>
        <v>16210.983683515806</v>
      </c>
      <c r="G19" s="15">
        <f>F19+'三表-利润表'!G17-'三表-假设'!G59</f>
        <v>19310.389219321234</v>
      </c>
      <c r="H19" s="15">
        <f>G19+'三表-利润表'!H17-'三表-假设'!H59</f>
        <v>22536.791092045198</v>
      </c>
    </row>
    <row r="20" ht="20" customHeight="1">
      <c r="A20" s="19" t="inlineStr">
        <is>
          <r>
            <rPr>
              <b/>
              <sz val="12"/>
              <rFont val="KaiTi"/>
              <family val="2"/>
            </rPr>
            <t xml:space="preserve">所有者权益合计</t>
          </r>
        </is>
      </c>
      <c r="B20" s="24">
        <f>B18+B19</f>
        <v>40849.18597461</v>
      </c>
      <c r="C20" s="24">
        <f>C18+C19</f>
        <v>43754.79343595</v>
      </c>
      <c r="D20" s="24">
        <f>D18+D19</f>
        <v>51451.62082517045</v>
      </c>
      <c r="E20" s="24">
        <f>E18+E19</f>
        <v>56563.07868805051</v>
      </c>
      <c r="F20" s="24">
        <f>F18+F19</f>
        <v>59965.777119465805</v>
      </c>
      <c r="G20" s="24">
        <f>G18+G19</f>
        <v>63065.18265527123</v>
      </c>
      <c r="H20" s="24">
        <f>H18+H19</f>
        <v>66291.5845279952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负债和所有者权益总计</t>
          </r>
        </is>
      </c>
      <c r="B21" s="8">
        <f>B16+B20</f>
        <v>70619.30835163</v>
      </c>
      <c r="C21" s="8">
        <f>C16+C20</f>
        <v>82054.88007889001</v>
      </c>
      <c r="D21" s="8">
        <f>D16+D20</f>
        <v>89873.44581454621</v>
      </c>
      <c r="E21" s="8">
        <f>E16+E20</f>
        <v>95040.84955243414</v>
      </c>
      <c r="F21" s="8">
        <f>F16+F20</f>
        <v>98456.13580572623</v>
      </c>
      <c r="G21" s="8">
        <f>G16+G20</f>
        <v>101655.13618822067</v>
      </c>
      <c r="H21" s="8">
        <f>H16+H20</f>
        <v>104945.32508601013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负债和权益总计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各项负债与权益合计。</t>
          </r>
        </is>
      </c>
    </row>
    <row r="22" ht="20" customHeight="1"/>
    <row r="23" ht="20" customHeight="1">
      <c r="A23" s="31" t="inlineStr">
        <is>
          <r>
            <rPr>
              <b/>
              <sz val="12"/>
              <rFont val="KaiTi"/>
              <family val="2"/>
            </rPr>
            <t xml:space="preserve">勾稽检查（应全部为 </t>
          </r>
          <r>
            <rPr>
              <b/>
              <sz val="12"/>
              <rFont val="Arial"/>
              <family val="2"/>
            </rPr>
            <t xml:space="preserve">0</t>
          </r>
          <r>
            <rPr>
              <b/>
              <sz val="12"/>
              <rFont val="KaiTi"/>
              <family val="2"/>
            </rPr>
            <t xml:space="preserve">，显示为</t>
          </r>
          <r>
            <rPr>
              <b/>
              <sz val="12"/>
              <rFont val="Arial"/>
              <family val="2"/>
            </rPr>
            <t xml:space="preserve">“-”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3" s="31"/>
      <c r="C23" s="31"/>
      <c r="D23" s="31"/>
      <c r="E23" s="31"/>
      <c r="F23" s="31"/>
      <c r="G23" s="31"/>
      <c r="H23" s="31"/>
      <c r="I23" s="31"/>
      <c r="J23" s="31"/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资产总计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负债和所有者权益总计</t>
          </r>
        </is>
      </c>
      <c r="B24" s="16">
        <f>ROUND(B11-B21,6)</f>
        <v>0.0</v>
      </c>
      <c r="C24" s="16">
        <f>ROUND(C11-C21,6)</f>
        <v>0.0</v>
      </c>
      <c r="D24" s="16">
        <f>ROUND(D11-D21,6)</f>
        <v>0.0</v>
      </c>
      <c r="E24" s="16">
        <f>ROUND(E11-E21,6)</f>
        <v>0.0</v>
      </c>
      <c r="F24" s="16">
        <f>ROUND(F11-F21,6)</f>
        <v>0.0</v>
      </c>
      <c r="G24" s="16">
        <f>ROUND(G11-G21,6)</f>
        <v>0.0</v>
      </c>
      <c r="H24" s="16">
        <f>ROUND(H11-H21,6)</f>
        <v>0.0</v>
      </c>
      <c r="I24" s="2"/>
      <c r="J24" s="2" t="inlineStr">
        <is>
          <r>
            <rPr>
              <i/>
              <sz val="9"/>
              <color rgb="FF595959"/>
              <rFont val="KaiTi"/>
              <family val="2"/>
            </rPr>
            <t xml:space="preserve">模型检查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资产总计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负债和权益总计；容差内应为 </t>
          </r>
          <r>
            <rPr>
              <i/>
              <sz val="9"/>
              <color rgb="FF595959"/>
              <rFont val="Arial"/>
              <family val="2"/>
            </rPr>
            <t xml:space="preserve">0.00</t>
          </r>
          <r>
            <rPr>
              <i/>
              <sz val="9"/>
              <color rgb="FF595959"/>
              <rFont val="KaiTi"/>
              <family val="2"/>
            </rPr>
            <t xml:space="preserve">。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现金流量表期末现金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货币资金</t>
          </r>
        </is>
      </c>
      <c r="B25" s="12"/>
      <c r="C25" s="12"/>
      <c r="D25" s="16">
        <f>ROUND('三表-现金流量表'!D21-D6,6)</f>
        <v>0.0</v>
      </c>
      <c r="E25" s="16">
        <f>ROUND('三表-现金流量表'!E21-E6,6)</f>
        <v>0.0</v>
      </c>
      <c r="F25" s="16">
        <f>ROUND('三表-现金流量表'!F21-F6,6)</f>
        <v>0.0</v>
      </c>
      <c r="G25" s="16">
        <f>ROUND('三表-现金流量表'!G21-G6,6)</f>
        <v>0.0</v>
      </c>
      <c r="H25" s="16">
        <f>ROUND('三表-现金流量表'!H21-H6,6)</f>
        <v>0.0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留存收益滚动（期初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净利润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分红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6" s="12"/>
      <c r="C26" s="12"/>
      <c r="D26" s="16">
        <f>ROUND(C19+'三表-利润表'!D17-'三表-假设'!D59-D19,6)</f>
        <v>0.0</v>
      </c>
      <c r="E26" s="16">
        <f>ROUND(D19+'三表-利润表'!E17-'三表-假设'!E59-E19,6)</f>
        <v>0.0</v>
      </c>
      <c r="F26" s="16">
        <f>ROUND(E19+'三表-利润表'!F17-'三表-假设'!F59-F19,6)</f>
        <v>0.0</v>
      </c>
      <c r="G26" s="16">
        <f>ROUND(F19+'三表-利润表'!G17-'三表-假设'!G59-G19,6)</f>
        <v>0.0</v>
      </c>
      <c r="H26" s="16">
        <f>ROUND(G19+'三表-利润表'!H17-'三表-假设'!H59-H19,6)</f>
        <v>0.0</v>
      </c>
    </row>
    <row r="27" ht="20" customHeight="1">
      <c r="A27" s="12" t="inlineStr">
        <is>
          <r>
            <rPr>
              <sz val="12"/>
              <rFont val="Arial"/>
              <family val="2"/>
            </rPr>
            <t xml:space="preserve">PP&amp;E </t>
          </r>
          <r>
            <rPr>
              <sz val="12"/>
              <rFont val="KaiTi"/>
              <family val="2"/>
            </rPr>
            <t xml:space="preserve">滚动（期初 </t>
          </r>
          <r>
            <rPr>
              <sz val="12"/>
              <rFont val="Arial"/>
              <family val="2"/>
            </rPr>
            <t xml:space="preserve">+ </t>
          </r>
          <r>
            <rPr>
              <sz val="12"/>
              <rFont val="KaiTi"/>
              <family val="2"/>
            </rPr>
            <t xml:space="preserve">资本开支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折旧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7" s="12"/>
      <c r="C27" s="12"/>
      <c r="D27" s="16">
        <f>ROUND('三表-假设'!D49+'三表-假设'!D50-'三表-假设'!D51-'三表-假设'!D52,6)</f>
        <v>0.0</v>
      </c>
      <c r="E27" s="16">
        <f>ROUND('三表-假设'!E49+'三表-假设'!E50-'三表-假设'!E51-'三表-假设'!E52,6)</f>
        <v>0.0</v>
      </c>
      <c r="F27" s="16">
        <f>ROUND('三表-假设'!F49+'三表-假设'!F50-'三表-假设'!F51-'三表-假设'!F52,6)</f>
        <v>0.0</v>
      </c>
      <c r="G27" s="16">
        <f>ROUND('三表-假设'!G49+'三表-假设'!G50-'三表-假设'!G51-'三表-假设'!G52,6)</f>
        <v>0.0</v>
      </c>
      <c r="H27" s="16">
        <f>ROUND('三表-假设'!H49+'三表-假设'!H50-'三表-假设'!H51-'三表-假设'!H52,6)</f>
        <v>0.0</v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有息负债滚动（期初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偿还 </t>
          </r>
          <r>
            <rPr>
              <sz val="12"/>
              <rFont val="Arial"/>
              <family val="2"/>
            </rPr>
            <t xml:space="preserve">− </t>
          </r>
          <r>
            <rPr>
              <sz val="12"/>
              <rFont val="KaiTi"/>
              <family val="2"/>
            </rPr>
            <t xml:space="preserve">期末）</t>
          </r>
        </is>
      </c>
      <c r="B28" s="12"/>
      <c r="C28" s="12"/>
      <c r="D28" s="16">
        <f>ROUND('三表-假设'!D54-'三表-假设'!D55-'三表-假设'!D56,6)</f>
        <v>0.0</v>
      </c>
      <c r="E28" s="16">
        <f>ROUND('三表-假设'!E54-'三表-假设'!E55-'三表-假设'!E56,6)</f>
        <v>0.0</v>
      </c>
      <c r="F28" s="16">
        <f>ROUND('三表-假设'!F54-'三表-假设'!F55-'三表-假设'!F56,6)</f>
        <v>0.0</v>
      </c>
      <c r="G28" s="16">
        <f>ROUND('三表-假设'!G54-'三表-假设'!G55-'三表-假设'!G56,6)</f>
        <v>0.0</v>
      </c>
      <c r="H28" s="16">
        <f>ROUND('三表-假设'!H54-'三表-假设'!H55-'三表-假设'!H56,6)</f>
        <v>0.0</v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勾稽结论</t>
          </r>
        </is>
      </c>
      <c r="B29" s="38" t="str">
        <f>IF(SUM(ABS(B24),ABS(C24),ABS(D24),ABS(E24),ABS(F24),ABS(G24),ABS(H24),ABS(B25),ABS(C25),ABS(D25),ABS(E25),ABS(F25),ABS(G25),ABS(H25),ABS(B26),ABS(C26),ABS(D26),ABS(E26),ABS(F26),ABS(G26),ABS(H26),ABS(B27),ABS(C27),ABS(D27),ABS(E27),ABS(F27),ABS(G27),ABS(H27),ABS(B28),ABS(C28),ABS(D28),ABS(E28),ABS(F28),ABS(G28),ABS(H28))&lt;0.001,"全部平衡","不平衡，请检查")</f>
        <v>全部平衡</v>
      </c>
      <c r="C29" s="2"/>
      <c r="D29" s="2" t="inlineStr">
        <is>
          <r>
            <rPr>
              <i/>
              <sz val="9"/>
              <color rgb="FF595959"/>
              <rFont val="KaiTi"/>
              <family val="2"/>
            </rPr>
            <t xml:space="preserve">汇总资产负债、现金、留存收益、</t>
          </r>
          <r>
            <rPr>
              <i/>
              <sz val="9"/>
              <color rgb="FF595959"/>
              <rFont val="Arial"/>
              <family val="2"/>
            </rPr>
            <t xml:space="preserve">PP&amp;E </t>
          </r>
          <r>
            <rPr>
              <i/>
              <sz val="9"/>
              <color rgb="FF595959"/>
              <rFont val="KaiTi"/>
              <family val="2"/>
            </rPr>
            <t xml:space="preserve">与有息负债滚动检查。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0.xml><?xml version="1.0" encoding="utf-8"?>
<worksheet xmlns="http://schemas.openxmlformats.org/spreadsheetml/2006/main">
  <sheetPr>
    <tabColor rgb="FF1F3864"/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0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2.0" customWidth="1"/>
    <col min="9" max="9" width="2.5" customWidth="1"/>
    <col min="10" max="10" width="6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三表联动模型：现金流量表（情景见</t>
          </r>
          <r>
            <rPr>
              <b/>
              <sz val="14"/>
              <color rgb="FF1F3864"/>
              <rFont val="Arial"/>
              <family val="2"/>
            </rPr>
            <t xml:space="preserve">“</t>
          </r>
          <r>
            <rPr>
              <b/>
              <sz val="14"/>
              <color rgb="FF1F3864"/>
              <rFont val="KaiTi"/>
              <family val="2"/>
            </rPr>
            <t xml:space="preserve">三表</t>
          </r>
          <r>
            <rPr>
              <b/>
              <sz val="14"/>
              <color rgb="FF1F3864"/>
              <rFont val="Arial"/>
              <family val="2"/>
            </rPr>
            <t xml:space="preserve">-</t>
          </r>
          <r>
            <rPr>
              <b/>
              <sz val="14"/>
              <color rgb="FF1F3864"/>
              <rFont val="KaiTi"/>
              <family val="2"/>
            </rPr>
            <t xml:space="preserve">假设</t>
          </r>
          <r>
            <rPr>
              <b/>
              <sz val="14"/>
              <color rgb="FF1F3864"/>
              <rFont val="Arial"/>
              <family val="2"/>
            </rPr>
            <t xml:space="preserve">”B5</t>
          </r>
          <r>
            <rPr>
              <b/>
              <sz val="14"/>
              <color rgb="FF1F3864"/>
              <rFont val="KaiTi"/>
              <family val="2"/>
            </rPr>
            <t xml:space="preserve">，默认基准）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单位：百万元；蓝色为输入（报表值、驱动假设），黑色为公式，绿色为跨表引用；实际年度经营现金流为报表值，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其他经营项目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为轧差（含财务公司存款变动）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现金流量表（百万元）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t xml:space="preserve">FY2026E</t>
        </is>
      </c>
      <c r="E4" s="3" t="inlineStr">
        <is>
          <t xml:space="preserve">FY2027E</t>
        </is>
      </c>
      <c r="F4" s="3" t="inlineStr">
        <is>
          <t xml:space="preserve">FY2028E</t>
        </is>
      </c>
      <c r="G4" s="3" t="inlineStr">
        <is>
          <t xml:space="preserve">FY2029E</t>
        </is>
      </c>
      <c r="H4" s="3" t="inlineStr">
        <is>
          <t xml:space="preserve">FY2030E</t>
        </is>
      </c>
      <c r="I4" s="2"/>
      <c r="J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来源及计算口径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经营活动</t>
          </r>
        </is>
      </c>
      <c r="B5" s="31"/>
      <c r="C5" s="31"/>
      <c r="D5" s="31"/>
      <c r="E5" s="31"/>
      <c r="F5" s="31"/>
      <c r="G5" s="31"/>
      <c r="H5" s="31"/>
      <c r="I5" s="31"/>
      <c r="J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净利润</t>
          </r>
        </is>
      </c>
      <c r="B6" s="23">
        <f>'三表-利润表'!B17</f>
        <v>5209.20384874</v>
      </c>
      <c r="C6" s="23">
        <f>'三表-利润表'!C17</f>
        <v>6070.713066810002</v>
      </c>
      <c r="D6" s="23">
        <f>'三表-利润表'!D17</f>
        <v>13503.205946000799</v>
      </c>
      <c r="E6" s="23">
        <f>'三表-利润表'!E17</f>
        <v>8967.469934877292</v>
      </c>
      <c r="F6" s="23">
        <f>'三表-利润表'!F17</f>
        <v>5969.646370904025</v>
      </c>
      <c r="G6" s="23">
        <f>'三表-利润表'!G17</f>
        <v>5437.553571588469</v>
      </c>
      <c r="H6" s="23">
        <f>'三表-利润表'!H17</f>
        <v>5660.354162673621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加：折旧摊销</t>
          </r>
        </is>
      </c>
      <c r="B7" s="23">
        <f>'三表-利润表'!B10</f>
        <v>2280.9717646199997</v>
      </c>
      <c r="C7" s="23">
        <f>'三表-利润表'!C10</f>
        <v>2396.46217152</v>
      </c>
      <c r="D7" s="23">
        <f>'三表-利润表'!D10</f>
        <v>2784.9419161507913</v>
      </c>
      <c r="E7" s="23">
        <f>'三表-利润表'!E10</f>
        <v>3148.1115481799047</v>
      </c>
      <c r="F7" s="23">
        <f>'三表-利润表'!F10</f>
        <v>3418.638243052949</v>
      </c>
      <c r="G7" s="23">
        <f>'三表-利润表'!G10</f>
        <v>3583.509900193592</v>
      </c>
      <c r="H7" s="23">
        <f>'三表-利润表'!H10</f>
        <v>3661.035738608734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减：营运资本增加</t>
          </r>
        </is>
      </c>
      <c r="B8" s="12"/>
      <c r="C8" s="15">
        <f>-'三表-假设'!C47</f>
        <v>-154.24661416000004</v>
      </c>
      <c r="D8" s="15">
        <f>-'三表-假设'!D47</f>
        <v>-519.339568810102</v>
      </c>
      <c r="E8" s="15">
        <f>-'三表-假设'!E47</f>
        <v>209.93935571273983</v>
      </c>
      <c r="F8" s="15">
        <f>-'三表-假设'!F47</f>
        <v>143.24058070949263</v>
      </c>
      <c r="G8" s="15">
        <f>-'三表-假设'!G47</f>
        <v>-3.64984242829064</v>
      </c>
      <c r="H8" s="15">
        <f>-'三表-假设'!H47</f>
        <v>-30.90748006578451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其他经营项目</t>
          </r>
        </is>
      </c>
      <c r="B9" s="12"/>
      <c r="C9" s="15">
        <f>C10-C6-C7-C8</f>
        <v>741.9989871299979</v>
      </c>
      <c r="D9" s="22">
        <v>0.0</v>
      </c>
      <c r="E9" s="22">
        <v>0.0</v>
      </c>
      <c r="F9" s="22">
        <v>0.0</v>
      </c>
      <c r="G9" s="22">
        <v>0.0</v>
      </c>
      <c r="H9" s="22">
        <v>0.0</v>
      </c>
    </row>
    <row r="10" ht="20" customHeight="1">
      <c r="A10" s="19" t="inlineStr">
        <is>
          <r>
            <rPr>
              <b/>
              <sz val="12"/>
              <rFont val="KaiTi"/>
              <family val="2"/>
            </rPr>
            <t xml:space="preserve">经营活动现金流量净额</t>
          </r>
        </is>
      </c>
      <c r="B10" s="20">
        <v>8476.22058611</v>
      </c>
      <c r="C10" s="20">
        <v>9054.9276113</v>
      </c>
      <c r="D10" s="24">
        <f>SUM(D6:D9)</f>
        <v>15768.808293341486</v>
      </c>
      <c r="E10" s="24">
        <f>SUM(E6:E9)</f>
        <v>12325.520838769937</v>
      </c>
      <c r="F10" s="24">
        <f>SUM(F6:F9)</f>
        <v>9531.525194666467</v>
      </c>
      <c r="G10" s="24">
        <f>SUM(G6:G9)</f>
        <v>9017.41362935377</v>
      </c>
      <c r="H10" s="24">
        <f>SUM(H6:H9)</f>
        <v>9290.48242121657</v>
      </c>
      <c r="I10" s="2"/>
      <c r="J10" s="2" t="inlineStr">
        <is>
          <r>
            <rPr>
              <i/>
              <sz val="9"/>
              <color rgb="FF595959"/>
              <rFont val="KaiTi"/>
              <family val="2"/>
            </rPr>
            <t xml:space="preserve">经营活动现金流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净利润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折旧摊销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营运资本增加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其他经营项目。</t>
          </r>
        </is>
      </c>
    </row>
    <row r="11" ht="20" customHeight="1">
      <c r="A11" s="31" t="inlineStr">
        <is>
          <r>
            <rPr>
              <b/>
              <sz val="12"/>
              <rFont val="KaiTi"/>
              <family val="2"/>
            </rPr>
            <t xml:space="preserve">投资活动</t>
          </r>
        </is>
      </c>
      <c r="B11" s="31"/>
      <c r="C11" s="31"/>
      <c r="D11" s="31"/>
      <c r="E11" s="31"/>
      <c r="F11" s="31"/>
      <c r="G11" s="31"/>
      <c r="H11" s="31"/>
      <c r="I11" s="31"/>
      <c r="J11" s="31"/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购建长期资产（资本开支）</t>
          </r>
        </is>
      </c>
      <c r="B12" s="22">
        <v>-7550.235457350001</v>
      </c>
      <c r="C12" s="22">
        <v>-7796.87905542</v>
      </c>
      <c r="D12" s="15">
        <f>-'三表-假设'!D50</f>
        <v>-11045.4667637244</v>
      </c>
      <c r="E12" s="15">
        <f>-'三表-假设'!E50</f>
        <v>-9940.920087351962</v>
      </c>
      <c r="F12" s="15">
        <f>-'三表-假设'!F50</f>
        <v>-7839.125554597546</v>
      </c>
      <c r="G12" s="15">
        <f>-'三表-假设'!G50</f>
        <v>-5996.931049267123</v>
      </c>
      <c r="H12" s="15">
        <f>-'三表-假设'!H50</f>
        <v>-4461.050374982598</v>
      </c>
      <c r="I12" s="2"/>
      <c r="J12" s="2" t="inlineStr">
        <is>
          <r>
            <rPr>
              <i/>
              <sz val="9"/>
              <color rgb="FF595959"/>
              <rFont val="KaiTi"/>
              <family val="2"/>
            </rPr>
            <t xml:space="preserve">资本开支为现金流出，取负号列示。</t>
          </r>
        </is>
      </c>
    </row>
    <row r="13" ht="20" customHeight="1">
      <c r="A13" s="19" t="inlineStr">
        <is>
          <r>
            <rPr>
              <b/>
              <sz val="12"/>
              <rFont val="KaiTi"/>
              <family val="2"/>
            </rPr>
            <t xml:space="preserve">投资活动现金流量净额（模型口径）</t>
          </r>
        </is>
      </c>
      <c r="B13" s="19"/>
      <c r="C13" s="19"/>
      <c r="D13" s="24">
        <f>D12</f>
        <v>-11045.4667637244</v>
      </c>
      <c r="E13" s="24">
        <f>E12</f>
        <v>-9940.920087351962</v>
      </c>
      <c r="F13" s="24">
        <f>F12</f>
        <v>-7839.125554597546</v>
      </c>
      <c r="G13" s="24">
        <f>G12</f>
        <v>-5996.931049267123</v>
      </c>
      <c r="H13" s="24">
        <f>H12</f>
        <v>-4461.050374982598</v>
      </c>
    </row>
    <row r="14" ht="20" customHeight="1">
      <c r="A14" s="31" t="inlineStr">
        <is>
          <r>
            <rPr>
              <b/>
              <sz val="12"/>
              <rFont val="KaiTi"/>
              <family val="2"/>
            </rPr>
            <t xml:space="preserve">筹资活动</t>
          </r>
        </is>
      </c>
      <c r="B14" s="31"/>
      <c r="C14" s="31"/>
      <c r="D14" s="31"/>
      <c r="E14" s="31"/>
      <c r="F14" s="31"/>
      <c r="G14" s="31"/>
      <c r="H14" s="31"/>
      <c r="I14" s="31"/>
      <c r="J14" s="31"/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偿还有息负债</t>
          </r>
        </is>
      </c>
      <c r="B15" s="12"/>
      <c r="C15" s="12"/>
      <c r="D15" s="15">
        <f>-'三表-假设'!D55</f>
        <v>-0.0</v>
      </c>
      <c r="E15" s="15">
        <f>-'三表-假设'!E55</f>
        <v>-0.0</v>
      </c>
      <c r="F15" s="15">
        <f>-'三表-假设'!F55</f>
        <v>-0.0</v>
      </c>
      <c r="G15" s="15">
        <f>-'三表-假设'!G55</f>
        <v>-0.0</v>
      </c>
      <c r="H15" s="15">
        <f>-'三表-假设'!H55</f>
        <v>-0.0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现金分红</t>
          </r>
        </is>
      </c>
      <c r="B16" s="12"/>
      <c r="C16" s="12"/>
      <c r="D16" s="15">
        <f>-'三表-假设'!D59</f>
        <v>-5806.378556780343</v>
      </c>
      <c r="E16" s="15">
        <f>-'三表-假设'!E59</f>
        <v>-3856.0120719972356</v>
      </c>
      <c r="F16" s="15">
        <f>-'三表-假设'!F59</f>
        <v>-2566.9479394887308</v>
      </c>
      <c r="G16" s="15">
        <f>-'三表-假设'!G59</f>
        <v>-2338.1480357830415</v>
      </c>
      <c r="H16" s="15">
        <f>-'三表-假设'!H59</f>
        <v>-2433.9522899496574</v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筹资活动现金流量净额（模型口径）</t>
          </r>
        </is>
      </c>
      <c r="B17" s="19"/>
      <c r="C17" s="19"/>
      <c r="D17" s="24">
        <f>D15+D16</f>
        <v>-5806.378556780343</v>
      </c>
      <c r="E17" s="24">
        <f>E15+E16</f>
        <v>-3856.0120719972356</v>
      </c>
      <c r="F17" s="24">
        <f>F15+F16</f>
        <v>-2566.9479394887308</v>
      </c>
      <c r="G17" s="24">
        <f>G15+G16</f>
        <v>-2338.1480357830415</v>
      </c>
      <c r="H17" s="24">
        <f>H15+H16</f>
        <v>-2433.9522899496574</v>
      </c>
    </row>
    <row r="18" ht="20" customHeight="1"/>
    <row r="19" ht="20" customHeight="1">
      <c r="A19" s="12" t="inlineStr">
        <is>
          <r>
            <rPr>
              <sz val="12"/>
              <rFont val="KaiTi"/>
              <family val="2"/>
            </rPr>
            <t xml:space="preserve">现金净增加额</t>
          </r>
        </is>
      </c>
      <c r="B19" s="12"/>
      <c r="C19" s="12"/>
      <c r="D19" s="15">
        <f>D10+D13+D17</f>
        <v>-1083.0370271632555</v>
      </c>
      <c r="E19" s="15">
        <f>E10+E13+E17</f>
        <v>-1471.41132057926</v>
      </c>
      <c r="F19" s="15">
        <f>F10+F13+F17</f>
        <v>-874.5482994198096</v>
      </c>
      <c r="G19" s="15">
        <f>G10+G13+G17</f>
        <v>682.3345443036064</v>
      </c>
      <c r="H19" s="15">
        <f>H10+H13+H17</f>
        <v>2395.479756284315</v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期初现金</t>
          </r>
        </is>
      </c>
      <c r="B20" s="12"/>
      <c r="C20" s="12"/>
      <c r="D20" s="23">
        <f>'三表-资产负债表'!C6</f>
        <v>4720.9146631</v>
      </c>
      <c r="E20" s="15">
        <f>D21</f>
        <v>3637.877635936745</v>
      </c>
      <c r="F20" s="15">
        <f>E21</f>
        <v>2166.4663153574847</v>
      </c>
      <c r="G20" s="15">
        <f>F21</f>
        <v>1291.9180159376751</v>
      </c>
      <c r="H20" s="15">
        <f>G21</f>
        <v>1974.2525602412816</v>
      </c>
    </row>
    <row r="21" ht="20" customHeight="1">
      <c r="A21" s="5" t="inlineStr">
        <is>
          <r>
            <rPr>
              <sz val="12"/>
              <rFont val="KaiTi"/>
              <family val="2"/>
            </rPr>
            <t xml:space="preserve">期末现金</t>
          </r>
        </is>
      </c>
      <c r="B21" s="5"/>
      <c r="C21" s="5"/>
      <c r="D21" s="8">
        <f>D20+D19</f>
        <v>3637.877635936745</v>
      </c>
      <c r="E21" s="8">
        <f>E20+E19</f>
        <v>2166.4663153574847</v>
      </c>
      <c r="F21" s="8">
        <f>F20+F19</f>
        <v>1291.9180159376751</v>
      </c>
      <c r="G21" s="8">
        <f>G20+G19</f>
        <v>1974.2525602412816</v>
      </c>
      <c r="H21" s="8">
        <f>H20+H19</f>
        <v>4369.732316525597</v>
      </c>
      <c r="I21" s="2"/>
      <c r="J21" s="2" t="inlineStr">
        <is>
          <r>
            <rPr>
              <i/>
              <sz val="9"/>
              <color rgb="FF595959"/>
              <rFont val="KaiTi"/>
              <family val="2"/>
            </rPr>
            <t xml:space="preserve">期末现金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期初现金 </t>
          </r>
          <r>
            <rPr>
              <i/>
              <sz val="9"/>
              <color rgb="FF595959"/>
              <rFont val="Arial"/>
              <family val="2"/>
            </rPr>
            <t xml:space="preserve">+ </t>
          </r>
          <r>
            <rPr>
              <i/>
              <sz val="9"/>
              <color rgb="FF595959"/>
              <rFont val="KaiTi"/>
              <family val="2"/>
            </rPr>
            <t xml:space="preserve">经营、投资与筹资活动现金流。</t>
          </r>
        </is>
      </c>
    </row>
  </sheetData>
  <pageMargins left="0.5" right="0.5" top="0.6" bottom="0.6" header="0.3" footer="0.3"/>
  <pageSetup paperSize="9" orientation="landscape" fitToWidth="1" fitToHeight="0"/>
</worksheet>
</file>

<file path=xl/worksheets/sheet11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1.5" customWidth="1"/>
    <col min="3" max="3" width="11.5" customWidth="1"/>
    <col min="4" max="4" width="10.0" customWidth="1"/>
    <col min="5" max="5" width="9.0" customWidth="1"/>
    <col min="6" max="6" width="44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历史财务数据（</t>
          </r>
          <r>
            <rPr>
              <b/>
              <sz val="14"/>
              <color rgb="FF1F3864"/>
              <rFont val="Arial"/>
              <family val="2"/>
            </rPr>
            <t xml:space="preserve">2024A / 2025A</t>
          </r>
          <r>
            <rPr>
              <b/>
              <sz val="14"/>
              <color rgb="FF1F3864"/>
              <rFont val="KaiTi"/>
              <family val="2"/>
            </rPr>
            <t xml:space="preserve">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金额单位：百万元（每股为元）；蓝色为年报抽取值（逐字核对原文），黑色为公式；来源为年报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页码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" s="3" t="inlineStr">
        <is>
          <t xml:space="preserve">FY2024A</t>
        </is>
      </c>
      <c r="C4" s="3" t="inlineStr">
        <is>
          <t xml:space="preserve">FY2025A</t>
        </is>
      </c>
      <c r="D4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 </t>
          </r>
          <r>
            <rPr>
              <b/>
              <sz val="12"/>
              <color rgb="FFFFFFFF"/>
              <rFont val="Arial"/>
              <family val="2"/>
            </rPr>
            <t xml:space="preserve">/ </t>
          </r>
          <r>
            <rPr>
              <b/>
              <sz val="12"/>
              <color rgb="FFFFFFFF"/>
              <rFont val="KaiTi"/>
              <family val="2"/>
            </rPr>
            <t xml:space="preserve">变动</t>
          </r>
        </is>
      </c>
      <c r="E4" s="3" t="inlineStr">
        <is>
          <r>
            <rPr>
              <b/>
              <sz val="12"/>
              <color rgb="FFFFFFFF"/>
              <rFont val="KaiTi"/>
              <family val="2"/>
            </rPr>
            <t xml:space="preserve">来源页</t>
          </r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原文科目</t>
          </r>
        </is>
      </c>
    </row>
    <row r="5" ht="20" customHeight="1">
      <c r="A5" s="31" t="inlineStr">
        <is>
          <r>
            <rPr>
              <b/>
              <sz val="12"/>
              <rFont val="KaiTi"/>
              <family val="2"/>
            </rPr>
            <t xml:space="preserve">利润表</t>
          </r>
        </is>
      </c>
      <c r="B5" s="31"/>
      <c r="C5" s="31"/>
      <c r="D5" s="31"/>
      <c r="E5" s="31"/>
      <c r="F5" s="31"/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营业收入（百万元）</t>
          </r>
        </is>
      </c>
      <c r="B6" s="22">
        <v>25799.2793952</v>
      </c>
      <c r="C6" s="22">
        <v>28177.21113195</v>
      </c>
      <c r="D6" s="41">
        <f>IF(B6=0,"NM",(C6-B6)/ABS(B6))</f>
        <v>0.09217047113309758</v>
      </c>
      <c r="E6" s="12" t="inlineStr">
        <is>
          <t xml:space="preserve">p.9</t>
        </is>
      </c>
      <c r="F6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营业成本（百万元）</t>
          </r>
        </is>
      </c>
      <c r="B7" s="22">
        <v>18466.9145856</v>
      </c>
      <c r="C7" s="22">
        <v>20717.50725047</v>
      </c>
      <c r="D7" s="41">
        <f>IF(B7=0,"NM",(C7-B7)/ABS(B7))</f>
        <v>0.12187161284781985</v>
      </c>
      <c r="E7" s="12" t="inlineStr">
        <is>
          <t xml:space="preserve">p.20</t>
        </is>
      </c>
      <c r="F7" s="12" t="inlineStr">
        <is>
          <r>
            <rPr>
              <sz val="12"/>
              <rFont val="KaiTi"/>
              <family val="2"/>
            </rPr>
            <t xml:space="preserve">营业成本</t>
          </r>
        </is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销售费用（百万元）</t>
          </r>
        </is>
      </c>
      <c r="B8" s="22">
        <v>107.63346384</v>
      </c>
      <c r="C8" s="22">
        <v>113.83515763</v>
      </c>
      <c r="D8" s="41">
        <f>IF(B8=0,"NM",(C8-B8)/ABS(B8))</f>
        <v>0.05761863986110282</v>
      </c>
      <c r="E8" s="12" t="inlineStr">
        <is>
          <t xml:space="preserve">p.20</t>
        </is>
      </c>
      <c r="F8" s="12" t="inlineStr">
        <is>
          <r>
            <rPr>
              <sz val="12"/>
              <rFont val="KaiTi"/>
              <family val="2"/>
            </rPr>
            <t xml:space="preserve">销售费用</t>
          </r>
        </is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管理费用（百万元）</t>
          </r>
        </is>
      </c>
      <c r="B9" s="22">
        <v>819.1027328600001</v>
      </c>
      <c r="C9" s="22">
        <v>976.1231793200001</v>
      </c>
      <c r="D9" s="41">
        <f>IF(B9=0,"NM",(C9-B9)/ABS(B9))</f>
        <v>0.19169811082395416</v>
      </c>
      <c r="E9" s="12" t="inlineStr">
        <is>
          <t xml:space="preserve">p.20</t>
        </is>
      </c>
      <c r="F9" s="12" t="inlineStr">
        <is>
          <r>
            <rPr>
              <sz val="12"/>
              <rFont val="KaiTi"/>
              <family val="2"/>
            </rPr>
            <t xml:space="preserve">管理费用</t>
          </r>
        </is>
      </c>
    </row>
    <row r="10" ht="20" customHeight="1">
      <c r="A10" s="12" t="inlineStr">
        <is>
          <r>
            <rPr>
              <sz val="12"/>
              <rFont val="KaiTi"/>
              <family val="2"/>
            </rPr>
            <t xml:space="preserve">研发费用（百万元）</t>
          </r>
        </is>
      </c>
      <c r="B10" s="22">
        <v>18.5839642</v>
      </c>
      <c r="C10" s="22">
        <v>27.58062237</v>
      </c>
      <c r="D10" s="41">
        <f>IF(B10=0,"NM",(C10-B10)/ABS(B10))</f>
        <v>0.4841086688059806</v>
      </c>
      <c r="E10" s="12" t="inlineStr">
        <is>
          <t xml:space="preserve">p.20</t>
        </is>
      </c>
      <c r="F10" s="12" t="inlineStr">
        <is>
          <r>
            <rPr>
              <sz val="12"/>
              <rFont val="KaiTi"/>
              <family val="2"/>
            </rPr>
            <t xml:space="preserve">研发费用</t>
          </r>
        </is>
      </c>
    </row>
    <row r="11" ht="20" customHeight="1">
      <c r="A11" s="12" t="inlineStr">
        <is>
          <r>
            <rPr>
              <sz val="12"/>
              <rFont val="KaiTi"/>
              <family val="2"/>
            </rPr>
            <t xml:space="preserve">财务费用（百万元）</t>
          </r>
        </is>
      </c>
      <c r="B11" s="22">
        <v>1056.53912301</v>
      </c>
      <c r="C11" s="22">
        <v>1159.71157555</v>
      </c>
      <c r="D11" s="41">
        <f>IF(B11=0,"NM",(C11-B11)/ABS(B11))</f>
        <v>0.09765133187502749</v>
      </c>
      <c r="E11" s="12" t="inlineStr">
        <is>
          <t xml:space="preserve">p.20</t>
        </is>
      </c>
      <c r="F11" s="12" t="inlineStr">
        <is>
          <r>
            <rPr>
              <sz val="12"/>
              <rFont val="KaiTi"/>
              <family val="2"/>
            </rPr>
            <t xml:space="preserve">财务费用</t>
          </r>
        </is>
      </c>
    </row>
    <row r="12" ht="20" customHeight="1">
      <c r="A12" s="12" t="inlineStr">
        <is>
          <r>
            <rPr>
              <sz val="12"/>
              <rFont val="KaiTi"/>
              <family val="2"/>
            </rPr>
            <t xml:space="preserve">投资收益（百万元）</t>
          </r>
        </is>
      </c>
      <c r="B12" s="22">
        <v>671.0359428400001</v>
      </c>
      <c r="C12" s="22">
        <v>789.46760964</v>
      </c>
      <c r="D12" s="41">
        <f>IF(B12=0,"NM",(C12-B12)/ABS(B12))</f>
        <v>0.17649079466409212</v>
      </c>
      <c r="E12" s="12" t="inlineStr">
        <is>
          <t xml:space="preserve">p.103</t>
        </is>
      </c>
      <c r="F12" s="12" t="inlineStr">
        <is>
          <r>
            <rPr>
              <sz val="12"/>
              <rFont val="KaiTi"/>
              <family val="2"/>
            </rPr>
            <t xml:space="preserve">投资收益（损失以</t>
          </r>
          <r>
            <rPr>
              <sz val="12"/>
              <rFont val="Arial"/>
              <family val="2"/>
            </rPr>
            <t xml:space="preserve">“</t>
          </r>
          <r>
            <rPr>
              <sz val="12"/>
              <rFont val="KaiTi"/>
              <family val="2"/>
            </rPr>
            <t xml:space="preserve">－</t>
          </r>
          <r>
            <rPr>
              <sz val="12"/>
              <rFont val="Arial"/>
              <family val="2"/>
            </rPr>
            <t xml:space="preserve">”</t>
          </r>
          <r>
            <rPr>
              <sz val="12"/>
              <rFont val="KaiTi"/>
              <family val="2"/>
            </rPr>
            <t xml:space="preserve">号填
列）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公允价值变动收益（百万元）</t>
          </r>
        </is>
      </c>
      <c r="B13" s="12"/>
      <c r="C13" s="22">
        <v>165.37950134</v>
      </c>
      <c r="D13" s="12"/>
      <c r="E13" s="12" t="inlineStr">
        <is>
          <t xml:space="preserve">p.103</t>
        </is>
      </c>
      <c r="F13" s="12" t="inlineStr">
        <is>
          <r>
            <rPr>
              <sz val="12"/>
              <rFont val="KaiTi"/>
              <family val="2"/>
            </rPr>
            <t xml:space="preserve">公允价值变动收益（损失以
</t>
          </r>
          <r>
            <rPr>
              <sz val="12"/>
              <rFont val="Arial"/>
              <family val="2"/>
            </rPr>
            <t xml:space="preserve">“</t>
          </r>
          <r>
            <rPr>
              <sz val="12"/>
              <rFont val="KaiTi"/>
              <family val="2"/>
            </rPr>
            <t xml:space="preserve">－</t>
          </r>
          <r>
            <rPr>
              <sz val="12"/>
              <rFont val="Arial"/>
              <family val="2"/>
            </rPr>
            <t xml:space="preserve">”</t>
          </r>
          <r>
            <rPr>
              <sz val="12"/>
              <rFont val="KaiTi"/>
              <family val="2"/>
            </rPr>
            <t xml:space="preserve">号填列）</t>
          </r>
        </is>
      </c>
    </row>
    <row r="14" ht="20" customHeight="1">
      <c r="A14" s="19" t="inlineStr">
        <is>
          <r>
            <rPr>
              <b/>
              <sz val="12"/>
              <rFont val="KaiTi"/>
              <family val="2"/>
            </rPr>
            <t xml:space="preserve">营业利润（百万元）</t>
          </r>
        </is>
      </c>
      <c r="B14" s="20">
        <v>5955.17940893</v>
      </c>
      <c r="C14" s="20">
        <v>6808.6806136800005</v>
      </c>
      <c r="D14" s="42">
        <f>IF(B14=0,"NM",(C14-B14)/ABS(B14))</f>
        <v>0.14332082144664615</v>
      </c>
      <c r="E14" s="19" t="inlineStr">
        <is>
          <t xml:space="preserve">p.103</t>
        </is>
      </c>
      <c r="F14" s="19" t="inlineStr">
        <is>
          <r>
            <rPr>
              <b/>
              <sz val="12"/>
              <rFont val="KaiTi"/>
              <family val="2"/>
            </rPr>
            <t xml:space="preserve">三、营业利润（亏损以</t>
          </r>
          <r>
            <rPr>
              <b/>
              <sz val="12"/>
              <rFont val="Arial"/>
              <family val="2"/>
            </rPr>
            <t xml:space="preserve">“</t>
          </r>
          <r>
            <rPr>
              <b/>
              <sz val="12"/>
              <rFont val="KaiTi"/>
              <family val="2"/>
            </rPr>
            <t xml:space="preserve">－</t>
          </r>
          <r>
            <rPr>
              <b/>
              <sz val="12"/>
              <rFont val="Arial"/>
              <family val="2"/>
            </rPr>
            <t xml:space="preserve">”</t>
          </r>
          <r>
            <rPr>
              <b/>
              <sz val="12"/>
              <rFont val="KaiTi"/>
              <family val="2"/>
            </rPr>
            <t xml:space="preserve">号填列）</t>
          </r>
        </is>
      </c>
    </row>
    <row r="15" ht="20" customHeight="1">
      <c r="A15" s="19" t="inlineStr">
        <is>
          <r>
            <rPr>
              <b/>
              <sz val="12"/>
              <rFont val="KaiTi"/>
              <family val="2"/>
            </rPr>
            <t xml:space="preserve">利润总额（百万元）</t>
          </r>
        </is>
      </c>
      <c r="B15" s="20">
        <v>5952.33706926</v>
      </c>
      <c r="C15" s="20">
        <v>6874.6384143000005</v>
      </c>
      <c r="D15" s="42">
        <f>IF(B15=0,"NM",(C15-B15)/ABS(B15))</f>
        <v>0.15494776829811852</v>
      </c>
      <c r="E15" s="19" t="inlineStr">
        <is>
          <t xml:space="preserve">p.9</t>
        </is>
      </c>
      <c r="F15" s="19" t="inlineStr">
        <is>
          <r>
            <rPr>
              <b/>
              <sz val="12"/>
              <rFont val="KaiTi"/>
              <family val="2"/>
            </rPr>
            <t xml:space="preserve">利润总额</t>
          </r>
        </is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所得税费用（百万元）</t>
          </r>
        </is>
      </c>
      <c r="B16" s="22">
        <v>743.13322052</v>
      </c>
      <c r="C16" s="22">
        <v>803.92534749</v>
      </c>
      <c r="D16" s="41">
        <f>IF(B16=0,"NM",(C16-B16)/ABS(B16))</f>
        <v>0.08180515322334984</v>
      </c>
      <c r="E16" s="12" t="inlineStr">
        <is>
          <t xml:space="preserve">p.103</t>
        </is>
      </c>
      <c r="F16" s="12" t="inlineStr">
        <is>
          <r>
            <rPr>
              <sz val="12"/>
              <rFont val="KaiTi"/>
              <family val="2"/>
            </rPr>
            <t xml:space="preserve">减：所得税费用</t>
          </r>
        </is>
      </c>
    </row>
    <row r="17" ht="20" customHeight="1">
      <c r="A17" s="19" t="inlineStr">
        <is>
          <r>
            <rPr>
              <b/>
              <sz val="12"/>
              <rFont val="KaiTi"/>
              <family val="2"/>
            </rPr>
            <t xml:space="preserve">净利润（百万元）</t>
          </r>
        </is>
      </c>
      <c r="B17" s="20">
        <v>5209.20384874</v>
      </c>
      <c r="C17" s="20">
        <v>6070.713066810001</v>
      </c>
      <c r="D17" s="42">
        <f>IF(B17=0,"NM",(C17-B17)/ABS(B17))</f>
        <v>0.1653821280728691</v>
      </c>
      <c r="E17" s="19" t="inlineStr">
        <is>
          <t xml:space="preserve">p.103</t>
        </is>
      </c>
      <c r="F17" s="19" t="inlineStr">
        <is>
          <r>
            <rPr>
              <b/>
              <sz val="12"/>
              <rFont val="KaiTi"/>
              <family val="2"/>
            </rPr>
            <t xml:space="preserve">五、净利润（净亏损以</t>
          </r>
          <r>
            <rPr>
              <b/>
              <sz val="12"/>
              <rFont val="Arial"/>
              <family val="2"/>
            </rPr>
            <t xml:space="preserve">“</t>
          </r>
          <r>
            <rPr>
              <b/>
              <sz val="12"/>
              <rFont val="KaiTi"/>
              <family val="2"/>
            </rPr>
            <t xml:space="preserve">－</t>
          </r>
          <r>
            <rPr>
              <b/>
              <sz val="12"/>
              <rFont val="Arial"/>
              <family val="2"/>
            </rPr>
            <t xml:space="preserve">”</t>
          </r>
          <r>
            <rPr>
              <b/>
              <sz val="12"/>
              <rFont val="KaiTi"/>
              <family val="2"/>
            </rPr>
            <t xml:space="preserve">号填列）</t>
          </r>
        </is>
      </c>
    </row>
    <row r="18" ht="20" customHeight="1">
      <c r="A18" s="19" t="inlineStr">
        <is>
          <r>
            <rPr>
              <b/>
              <sz val="12"/>
              <rFont val="KaiTi"/>
              <family val="2"/>
            </rPr>
            <t xml:space="preserve">归属于上市公司股东的净利润（百万元）</t>
          </r>
        </is>
      </c>
      <c r="B18" s="20">
        <v>5107.44794127</v>
      </c>
      <c r="C18" s="20">
        <v>6012.096267970001</v>
      </c>
      <c r="D18" s="42">
        <f>IF(B18=0,"NM",(C18-B18)/ABS(B18))</f>
        <v>0.17712335732100554</v>
      </c>
      <c r="E18" s="19" t="inlineStr">
        <is>
          <t xml:space="preserve">p.9</t>
        </is>
      </c>
      <c r="F18" s="19" t="inlineStr">
        <is>
          <r>
            <rPr>
              <b/>
              <sz val="12"/>
              <rFont val="KaiTi"/>
              <family val="2"/>
            </rPr>
            <t xml:space="preserve">归属于上市公司股
东的净利润</t>
          </r>
        </is>
      </c>
    </row>
    <row r="19" ht="20" customHeight="1">
      <c r="A19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归属于上市公司股东的扣除非经常性损益的净利润（百万元）</t>
          </r>
        </is>
      </c>
      <c r="B19" s="22">
        <v>5015.004674520001</v>
      </c>
      <c r="C19" s="22">
        <v>5024.0111369</v>
      </c>
      <c r="D19" s="41">
        <f>IF(B19=0,"NM",(C19-B19)/ABS(B19))</f>
        <v>0.0017959030877395992</v>
      </c>
      <c r="E19" s="12" t="inlineStr">
        <is>
          <t xml:space="preserve">p.9</t>
        </is>
      </c>
      <c r="F19" s="12" t="inlineStr">
        <is>
          <r>
            <rPr>
              <sz val="12"/>
              <rFont val="KaiTi"/>
              <family val="2"/>
            </rPr>
            <t xml:space="preserve">归属于上市公司股
东的扣除非经常性
损益的净利润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非经常性损益合计（百万元）</t>
          </r>
        </is>
      </c>
      <c r="B20" s="22">
        <v>92.44326675</v>
      </c>
      <c r="C20" s="22">
        <v>988.0851310700001</v>
      </c>
      <c r="D20" s="41">
        <f>IF(B20=0,"NM",(C20-B20)/ABS(B20))</f>
        <v>9.68855705567112</v>
      </c>
      <c r="E20" s="12" t="inlineStr">
        <is>
          <t xml:space="preserve">p.12</t>
        </is>
      </c>
      <c r="F20" s="12" t="inlineStr">
        <is>
          <r>
            <rPr>
              <sz val="12"/>
              <rFont val="KaiTi"/>
              <family val="2"/>
            </rPr>
            <t xml:space="preserve">非经常性损益合计</t>
          </r>
        </is>
      </c>
    </row>
    <row r="21" ht="20" customHeight="1">
      <c r="A21" s="31" t="inlineStr">
        <is>
          <r>
            <rPr>
              <b/>
              <sz val="12"/>
              <rFont val="KaiTi"/>
              <family val="2"/>
            </rPr>
            <t xml:space="preserve">资产负债表</t>
          </r>
        </is>
      </c>
      <c r="B21" s="31"/>
      <c r="C21" s="31"/>
      <c r="D21" s="31"/>
      <c r="E21" s="31"/>
      <c r="F21" s="31"/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货币资金（百万元）</t>
          </r>
        </is>
      </c>
      <c r="B22" s="22">
        <v>4589.22680324</v>
      </c>
      <c r="C22" s="22">
        <v>4720.9146631</v>
      </c>
      <c r="D22" s="41">
        <f>IF(B22=0,"NM",(C22-B22)/ABS(B22))</f>
        <v>0.02869499928986486</v>
      </c>
      <c r="E22" s="12" t="inlineStr">
        <is>
          <t xml:space="preserve">p.98</t>
        </is>
      </c>
      <c r="F22" s="12" t="inlineStr">
        <is>
          <r>
            <rPr>
              <sz val="12"/>
              <rFont val="KaiTi"/>
              <family val="2"/>
            </rPr>
            <t xml:space="preserve">货币资金</t>
          </r>
        </is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应收账款（百万元）</t>
          </r>
        </is>
      </c>
      <c r="B23" s="22">
        <v>1148.12894702</v>
      </c>
      <c r="C23" s="22">
        <v>1385.34236182</v>
      </c>
      <c r="D23" s="41">
        <f>IF(B23=0,"NM",(C23-B23)/ABS(B23))</f>
        <v>0.20660868747860936</v>
      </c>
      <c r="E23" s="12" t="inlineStr">
        <is>
          <t xml:space="preserve">p.98</t>
        </is>
      </c>
      <c r="F23" s="12" t="inlineStr">
        <is>
          <r>
            <rPr>
              <sz val="12"/>
              <rFont val="KaiTi"/>
              <family val="2"/>
            </rPr>
            <t xml:space="preserve">应收账款</t>
          </r>
        </is>
      </c>
    </row>
    <row r="24" ht="20" customHeight="1">
      <c r="A24" s="12" t="inlineStr">
        <is>
          <r>
            <rPr>
              <sz val="12"/>
              <rFont val="KaiTi"/>
              <family val="2"/>
            </rPr>
            <t xml:space="preserve">存货（百万元）</t>
          </r>
        </is>
      </c>
      <c r="B24" s="22">
        <v>1418.39143829</v>
      </c>
      <c r="C24" s="22">
        <v>1311.46477773</v>
      </c>
      <c r="D24" s="41">
        <f>IF(B24=0,"NM",(C24-B24)/ABS(B24))</f>
        <v>-0.07538586152840142</v>
      </c>
      <c r="E24" s="12" t="inlineStr">
        <is>
          <t xml:space="preserve">p.98</t>
        </is>
      </c>
      <c r="F24" s="12" t="inlineStr">
        <is>
          <r>
            <rPr>
              <sz val="12"/>
              <rFont val="KaiTi"/>
              <family val="2"/>
            </rPr>
            <t xml:space="preserve">存货</t>
          </r>
        </is>
      </c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固定资产（百万元）</t>
          </r>
        </is>
      </c>
      <c r="B25" s="22">
        <v>40409.22878338</v>
      </c>
      <c r="C25" s="22">
        <v>42178.69410502</v>
      </c>
      <c r="D25" s="41">
        <f>IF(B25=0,"NM",(C25-B25)/ABS(B25))</f>
        <v>0.04378864370625563</v>
      </c>
      <c r="E25" s="12" t="inlineStr">
        <is>
          <t xml:space="preserve">p.98</t>
        </is>
      </c>
      <c r="F25" s="12" t="inlineStr">
        <is>
          <r>
            <rPr>
              <sz val="12"/>
              <rFont val="KaiTi"/>
              <family val="2"/>
            </rPr>
            <t xml:space="preserve">固定资产</t>
          </r>
        </is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在建工程（百万元）</t>
          </r>
        </is>
      </c>
      <c r="B26" s="22">
        <v>6557.08336872</v>
      </c>
      <c r="C26" s="22">
        <v>11408.78117452</v>
      </c>
      <c r="D26" s="41">
        <f>IF(B26=0,"NM",(C26-B26)/ABS(B26))</f>
        <v>0.7399170535095839</v>
      </c>
      <c r="E26" s="12" t="inlineStr">
        <is>
          <t xml:space="preserve">p.98</t>
        </is>
      </c>
      <c r="F26" s="12" t="inlineStr">
        <is>
          <r>
            <rPr>
              <sz val="12"/>
              <rFont val="KaiTi"/>
              <family val="2"/>
            </rPr>
            <t xml:space="preserve">在建工程</t>
          </r>
        </is>
      </c>
    </row>
    <row r="27" ht="20" customHeight="1">
      <c r="A27" s="19" t="inlineStr">
        <is>
          <r>
            <rPr>
              <b/>
              <sz val="12"/>
              <rFont val="KaiTi"/>
              <family val="2"/>
            </rPr>
            <t xml:space="preserve">资产总计（百万元）</t>
          </r>
        </is>
      </c>
      <c r="B27" s="20">
        <v>70619.30835163001</v>
      </c>
      <c r="C27" s="20">
        <v>82054.88007889</v>
      </c>
      <c r="D27" s="42">
        <f>IF(B27=0,"NM",(C27-B27)/ABS(B27))</f>
        <v>0.16193264978353522</v>
      </c>
      <c r="E27" s="19" t="inlineStr">
        <is>
          <t xml:space="preserve">p.10</t>
        </is>
      </c>
      <c r="F27" s="19" t="inlineStr">
        <is>
          <r>
            <rPr>
              <b/>
              <sz val="12"/>
              <rFont val="KaiTi"/>
              <family val="2"/>
            </rPr>
            <t xml:space="preserve">总资产</t>
          </r>
        </is>
      </c>
    </row>
    <row r="28" ht="20" customHeight="1">
      <c r="A28" s="12" t="inlineStr">
        <is>
          <r>
            <rPr>
              <sz val="12"/>
              <rFont val="KaiTi"/>
              <family val="2"/>
            </rPr>
            <t xml:space="preserve">应付账款（百万元）</t>
          </r>
        </is>
      </c>
      <c r="B28" s="22">
        <v>1860.32713876</v>
      </c>
      <c r="C28" s="22">
        <v>1836.36727884</v>
      </c>
      <c r="D28" s="41">
        <f>IF(B28=0,"NM",(C28-B28)/ABS(B28))</f>
        <v>-0.012879379879374618</v>
      </c>
      <c r="E28" s="12" t="inlineStr">
        <is>
          <t xml:space="preserve">p.99</t>
        </is>
      </c>
      <c r="F28" s="12" t="inlineStr">
        <is>
          <r>
            <rPr>
              <sz val="12"/>
              <rFont val="KaiTi"/>
              <family val="2"/>
            </rPr>
            <t xml:space="preserve">应付账款</t>
          </r>
        </is>
      </c>
    </row>
    <row r="29" ht="20" customHeight="1">
      <c r="A29" s="12" t="inlineStr">
        <is>
          <r>
            <rPr>
              <sz val="12"/>
              <rFont val="KaiTi"/>
              <family val="2"/>
            </rPr>
            <t xml:space="preserve">一年内到期的非流动负债（百万元）</t>
          </r>
        </is>
      </c>
      <c r="B29" s="22">
        <v>3336.4006699899996</v>
      </c>
      <c r="C29" s="22">
        <v>4064.72347266</v>
      </c>
      <c r="D29" s="41">
        <f>IF(B29=0,"NM",(C29-B29)/ABS(B29))</f>
        <v>0.21829596463670034</v>
      </c>
      <c r="E29" s="12" t="inlineStr">
        <is>
          <t xml:space="preserve">p.99</t>
        </is>
      </c>
      <c r="F29" s="12" t="inlineStr">
        <is>
          <r>
            <rPr>
              <sz val="12"/>
              <rFont val="KaiTi"/>
              <family val="2"/>
            </rPr>
            <t xml:space="preserve">一年内到期的非流动负债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租赁负债（百万元）</t>
          </r>
        </is>
      </c>
      <c r="B30" s="22">
        <v>225.59926914</v>
      </c>
      <c r="C30" s="22">
        <v>1126.7164853</v>
      </c>
      <c r="D30" s="41">
        <f>IF(B30=0,"NM",(C30-B30)/ABS(B30))</f>
        <v>3.994326841550157</v>
      </c>
      <c r="E30" s="12" t="inlineStr">
        <is>
          <t xml:space="preserve">p.99</t>
        </is>
      </c>
      <c r="F30" s="12" t="inlineStr">
        <is>
          <r>
            <rPr>
              <sz val="12"/>
              <rFont val="KaiTi"/>
              <family val="2"/>
            </rPr>
            <t xml:space="preserve">租赁负债</t>
          </r>
        </is>
      </c>
    </row>
    <row r="31" ht="20" customHeight="1">
      <c r="A31" s="19" t="inlineStr">
        <is>
          <r>
            <rPr>
              <b/>
              <sz val="12"/>
              <rFont val="KaiTi"/>
              <family val="2"/>
            </rPr>
            <t xml:space="preserve">负债合计（百万元）</t>
          </r>
        </is>
      </c>
      <c r="B31" s="20">
        <v>29770.12237702</v>
      </c>
      <c r="C31" s="20">
        <v>38300.086642940005</v>
      </c>
      <c r="D31" s="42">
        <f>IF(B31=0,"NM",(C31-B31)/ABS(B31))</f>
        <v>0.2865276856404329</v>
      </c>
      <c r="E31" s="19" t="inlineStr">
        <is>
          <t xml:space="preserve">p.99</t>
        </is>
      </c>
      <c r="F31" s="19" t="inlineStr">
        <is>
          <r>
            <rPr>
              <b/>
              <sz val="12"/>
              <rFont val="KaiTi"/>
              <family val="2"/>
            </rPr>
            <t xml:space="preserve">负债合计</t>
          </r>
        </is>
      </c>
    </row>
    <row r="32" ht="20" customHeight="1">
      <c r="A32" s="12" t="inlineStr">
        <is>
          <r>
            <rPr>
              <sz val="12"/>
              <rFont val="KaiTi"/>
              <family val="2"/>
            </rPr>
            <t xml:space="preserve">归属于母公司所有者权益合计（百万元）</t>
          </r>
        </is>
      </c>
      <c r="B32" s="22">
        <v>40043.68265446</v>
      </c>
      <c r="C32" s="22">
        <v>43005.62179317</v>
      </c>
      <c r="D32" s="41">
        <f>IF(B32=0,"NM",(C32-B32)/ABS(B32))</f>
        <v>0.07396770082983635</v>
      </c>
      <c r="E32" s="12" t="inlineStr">
        <is>
          <t xml:space="preserve">p.10</t>
        </is>
      </c>
      <c r="F32" s="12" t="inlineStr">
        <is>
          <r>
            <rPr>
              <sz val="12"/>
              <rFont val="KaiTi"/>
              <family val="2"/>
            </rPr>
            <t xml:space="preserve">归属于上市公司股东的净资产</t>
          </r>
        </is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少数股东权益（百万元）</t>
          </r>
        </is>
      </c>
      <c r="B33" s="22">
        <v>805.5033201499999</v>
      </c>
      <c r="C33" s="22">
        <v>749.17164278</v>
      </c>
      <c r="D33" s="41">
        <f>IF(B33=0,"NM",(C33-B33)/ABS(B33))</f>
        <v>-0.0699335135695157</v>
      </c>
      <c r="E33" s="12" t="inlineStr">
        <is>
          <t xml:space="preserve">p.100</t>
        </is>
      </c>
      <c r="F33" s="12" t="inlineStr">
        <is>
          <r>
            <rPr>
              <sz val="12"/>
              <rFont val="KaiTi"/>
              <family val="2"/>
            </rPr>
            <t xml:space="preserve">少数股东权益</t>
          </r>
        </is>
      </c>
    </row>
    <row r="34" ht="20" customHeight="1">
      <c r="A34" s="19" t="inlineStr">
        <is>
          <r>
            <rPr>
              <b/>
              <sz val="12"/>
              <rFont val="KaiTi"/>
              <family val="2"/>
            </rPr>
            <t xml:space="preserve">所有者权益合计（百万元）</t>
          </r>
        </is>
      </c>
      <c r="B34" s="20">
        <v>40849.18597461</v>
      </c>
      <c r="C34" s="20">
        <v>43754.79343595</v>
      </c>
      <c r="D34" s="42">
        <f>IF(B34=0,"NM",(C34-B34)/ABS(B34))</f>
        <v>0.07113011904682731</v>
      </c>
      <c r="E34" s="19" t="inlineStr">
        <is>
          <t xml:space="preserve">p.100</t>
        </is>
      </c>
      <c r="F34" s="19" t="inlineStr">
        <is>
          <r>
            <rPr>
              <b/>
              <sz val="12"/>
              <rFont val="KaiTi"/>
              <family val="2"/>
            </rPr>
            <t xml:space="preserve">所有者权益（或股东权益）合计</t>
          </r>
        </is>
      </c>
    </row>
    <row r="35" ht="20" customHeight="1">
      <c r="A35" s="31" t="inlineStr">
        <is>
          <r>
            <rPr>
              <b/>
              <sz val="12"/>
              <rFont val="KaiTi"/>
              <family val="2"/>
            </rPr>
            <t xml:space="preserve">现金流量表</t>
          </r>
        </is>
      </c>
      <c r="B35" s="31"/>
      <c r="C35" s="31"/>
      <c r="D35" s="31"/>
      <c r="E35" s="31"/>
      <c r="F35" s="31"/>
    </row>
    <row r="36" ht="20" customHeight="1">
      <c r="A36" s="19" t="inlineStr">
        <is>
          <r>
            <rPr>
              <b/>
              <sz val="12"/>
              <rFont val="KaiTi"/>
              <family val="2"/>
            </rPr>
            <t xml:space="preserve">经营活动产生的现金流量净额（百万元）</t>
          </r>
        </is>
      </c>
      <c r="B36" s="20">
        <v>8476.22058611</v>
      </c>
      <c r="C36" s="20">
        <v>9054.9276113</v>
      </c>
      <c r="D36" s="42">
        <f>IF(B36=0,"NM",(C36-B36)/ABS(B36))</f>
        <v>0.0682741817902107</v>
      </c>
      <c r="E36" s="19" t="inlineStr">
        <is>
          <t xml:space="preserve">p.9</t>
        </is>
      </c>
      <c r="F36" s="19" t="inlineStr">
        <is>
          <r>
            <rPr>
              <b/>
              <sz val="12"/>
              <rFont val="KaiTi"/>
              <family val="2"/>
            </rPr>
            <t xml:space="preserve">经营活动产生的现
金流量净额</t>
          </r>
        </is>
      </c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购建固定资产、无形资产和其他长期资产支付的现金（百万元）</t>
          </r>
        </is>
      </c>
      <c r="B37" s="22">
        <v>7550.235457350001</v>
      </c>
      <c r="C37" s="22">
        <v>7796.87905542</v>
      </c>
      <c r="D37" s="41">
        <f>IF(B37=0,"NM",(C37-B37)/ABS(B37))</f>
        <v>0.03266700746794556</v>
      </c>
      <c r="E37" s="12" t="inlineStr">
        <is>
          <t xml:space="preserve">p.108</t>
        </is>
      </c>
      <c r="F37" s="12" t="inlineStr">
        <is>
          <r>
            <rPr>
              <sz val="12"/>
              <rFont val="KaiTi"/>
              <family val="2"/>
            </rPr>
            <t xml:space="preserve">购建固定资产、无形资产和其他长期资产支付的现金</t>
          </r>
        </is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固定资产折旧、油气资产折耗、生产性生物资产折旧（百万元）</t>
          </r>
        </is>
      </c>
      <c r="B38" s="22">
        <v>2263.04602029</v>
      </c>
      <c r="C38" s="22">
        <v>2375.02731193</v>
      </c>
      <c r="D38" s="41">
        <f>IF(B38=0,"NM",(C38-B38)/ABS(B38))</f>
        <v>0.04948255167415914</v>
      </c>
      <c r="E38" s="12" t="inlineStr">
        <is>
          <t xml:space="preserve">p.193</t>
        </is>
      </c>
      <c r="F38" s="12" t="inlineStr">
        <is>
          <r>
            <rPr>
              <sz val="12"/>
              <rFont val="KaiTi"/>
              <family val="2"/>
            </rPr>
            <t xml:space="preserve">固定资产折旧、油气资产折耗、生产
性生物资产折旧</t>
          </r>
        </is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无形资产摊销（百万元）</t>
          </r>
        </is>
      </c>
      <c r="B39" s="22">
        <v>17.925744329999997</v>
      </c>
      <c r="C39" s="22">
        <v>21.43485959</v>
      </c>
      <c r="D39" s="41">
        <f>IF(B39=0,"NM",(C39-B39)/ABS(B39))</f>
        <v>0.19575841289486928</v>
      </c>
      <c r="E39" s="12" t="inlineStr">
        <is>
          <t xml:space="preserve">p.194</t>
        </is>
      </c>
      <c r="F39" s="12" t="inlineStr">
        <is>
          <r>
            <rPr>
              <sz val="12"/>
              <rFont val="KaiTi"/>
              <family val="2"/>
            </rPr>
            <t xml:space="preserve">无形资产摊销</t>
          </r>
        </is>
      </c>
    </row>
    <row r="40" ht="20" customHeight="1">
      <c r="A40" s="31" t="inlineStr">
        <is>
          <r>
            <rPr>
              <b/>
              <sz val="12"/>
              <rFont val="KaiTi"/>
              <family val="2"/>
            </rPr>
            <t xml:space="preserve">每股与比率</t>
          </r>
        </is>
      </c>
      <c r="B40" s="31"/>
      <c r="C40" s="31"/>
      <c r="D40" s="31"/>
      <c r="E40" s="31"/>
      <c r="F40" s="31"/>
    </row>
    <row r="41" ht="20" customHeight="1">
      <c r="A41" s="12" t="inlineStr">
        <is>
          <r>
            <rPr>
              <sz val="12"/>
              <rFont val="KaiTi"/>
              <family val="2"/>
            </rPr>
            <t xml:space="preserve">基本每股收益（元）</t>
          </r>
        </is>
      </c>
      <c r="B41" s="25">
        <v>0.63</v>
      </c>
      <c r="C41" s="25">
        <v>0.74</v>
      </c>
      <c r="D41" s="41">
        <f>IF(B41=0,"NM",(C41-B41)/ABS(B41))</f>
        <v>0.1746031746031746</v>
      </c>
      <c r="E41" s="12" t="inlineStr">
        <is>
          <t xml:space="preserve">p.10</t>
        </is>
      </c>
      <c r="F41" s="12" t="inlineStr">
        <is>
          <r>
            <rPr>
              <sz val="12"/>
              <rFont val="KaiTi"/>
              <family val="2"/>
            </rPr>
            <t xml:space="preserve">基本每股收益（元／股）</t>
          </r>
        </is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加权平均净资产收益率</t>
          </r>
        </is>
      </c>
      <c r="B42" s="28">
        <v>0.1321</v>
      </c>
      <c r="C42" s="28">
        <v>0.14550000000000002</v>
      </c>
      <c r="D42" s="43">
        <f>(C42-B42)*100</f>
        <v>1.3400000000000023</v>
      </c>
      <c r="E42" s="12" t="inlineStr">
        <is>
          <t xml:space="preserve">p.10</t>
        </is>
      </c>
      <c r="F42" s="12" t="inlineStr">
        <is>
          <r>
            <rPr>
              <sz val="12"/>
              <rFont val="KaiTi"/>
              <family val="2"/>
            </rPr>
            <t xml:space="preserve">加权平均净资产收益率（</t>
          </r>
          <r>
            <rPr>
              <sz val="12"/>
              <rFont val="Arial"/>
              <family val="2"/>
            </rPr>
            <t xml:space="preserve">%</t>
          </r>
          <r>
            <rPr>
              <sz val="12"/>
              <rFont val="KaiTi"/>
              <family val="2"/>
            </rPr>
            <t xml:space="preserve">）</t>
          </r>
        </is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毛利率</t>
          </r>
        </is>
      </c>
      <c r="B43" s="13">
        <f>(B6-B7)/B6</f>
        <v>0.28420812447049204</v>
      </c>
      <c r="C43" s="13">
        <f>(C6-C7)/C6</f>
        <v>0.26474244901481675</v>
      </c>
      <c r="D43" s="43">
        <f>(C43-B43)*100</f>
        <v>-1.946567545567529</v>
      </c>
      <c r="E43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3" s="12"/>
    </row>
    <row r="44" ht="20" customHeight="1">
      <c r="A44" s="12" t="inlineStr">
        <is>
          <r>
            <rPr>
              <sz val="12"/>
              <rFont val="KaiTi"/>
              <family val="2"/>
            </rPr>
            <t xml:space="preserve">净利率</t>
          </r>
        </is>
      </c>
      <c r="B44" s="13">
        <f>B17/B6</f>
        <v>0.20191276542821504</v>
      </c>
      <c r="C44" s="13">
        <f>C17/C6</f>
        <v>0.21544761965198356</v>
      </c>
      <c r="D44" s="43">
        <f>(C44-B44)*100</f>
        <v>1.3534854223768518</v>
      </c>
      <c r="E44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4" s="12"/>
    </row>
    <row r="45" ht="20" customHeight="1">
      <c r="A45" s="12" t="inlineStr">
        <is>
          <r>
            <rPr>
              <sz val="12"/>
              <rFont val="KaiTi"/>
              <family val="2"/>
            </rPr>
            <t xml:space="preserve">资产负债率</t>
          </r>
        </is>
      </c>
      <c r="B45" s="13">
        <f>B31/B27</f>
        <v>0.4215578298896333</v>
      </c>
      <c r="C45" s="13">
        <f>C31/C27</f>
        <v>0.46676183800545634</v>
      </c>
      <c r="D45" s="43">
        <f>(C45-B45)*100</f>
        <v>4.520400811582304</v>
      </c>
      <c r="E45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5" s="12"/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经营现金流</t>
          </r>
          <r>
            <rPr>
              <sz val="12"/>
              <rFont val="Arial"/>
              <family val="2"/>
            </rPr>
            <t xml:space="preserve">/</t>
          </r>
          <r>
            <rPr>
              <sz val="12"/>
              <rFont val="KaiTi"/>
              <family val="2"/>
            </rPr>
            <t xml:space="preserve">归母净利润</t>
          </r>
        </is>
      </c>
      <c r="B46" s="16">
        <f>B36/B18</f>
        <v>1.659580417378142</v>
      </c>
      <c r="C46" s="16">
        <f>C36/C18</f>
        <v>1.5061182003257274</v>
      </c>
      <c r="D46" s="41">
        <f>IF(B46=0,"NM",(C46-B46)/ABS(B46))</f>
        <v>-0.09247049160465462</v>
      </c>
      <c r="E46" s="12" t="inlineStr">
        <is>
          <r>
            <rPr>
              <sz val="12"/>
              <rFont val="KaiTi"/>
              <family val="2"/>
            </rPr>
            <t xml:space="preserve">派生</t>
          </r>
        </is>
      </c>
      <c r="F46" s="12"/>
    </row>
  </sheetData>
  <pageMargins left="0.5" right="0.5" top="0.6" bottom="0.6" header="0.3" footer="0.3"/>
  <pageSetup paperSize="9" orientation="landscape" fitToWidth="1" fitToHeight="0"/>
</worksheet>
</file>

<file path=xl/worksheets/sheet12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46.0" customWidth="1"/>
    <col min="2" max="2" width="10.5" customWidth="1"/>
    <col min="3" max="3" width="10.5" customWidth="1"/>
    <col min="4" max="4" width="10.5" customWidth="1"/>
    <col min="5" max="5" width="10.5" customWidth="1"/>
    <col min="6" max="6" width="11.5" customWidth="1"/>
    <col min="7" max="7" width="11.5" customWidth="1"/>
    <col min="8" max="8" width="1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Arial"/>
              <family val="2"/>
            </rPr>
            <t xml:space="preserve">2025 </t>
          </r>
          <r>
            <rPr>
              <b/>
              <sz val="14"/>
              <color rgb="FF1F3864"/>
              <rFont val="KaiTi"/>
              <family val="2"/>
            </rPr>
            <t xml:space="preserve">年分季度数据（单季，合并报表）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单位：百万元；蓝色为年报</t>
          </r>
          <r>
            <rPr>
              <i/>
              <sz val="9"/>
              <color rgb="FF595959"/>
              <rFont val="Arial"/>
              <family val="2"/>
            </rPr>
            <t xml:space="preserve">“</t>
          </r>
          <r>
            <rPr>
              <i/>
              <sz val="9"/>
              <color rgb="FF595959"/>
              <rFont val="KaiTi"/>
              <family val="2"/>
            </rPr>
            <t xml:space="preserve">分季度主要财务数据</t>
          </r>
          <r>
            <rPr>
              <i/>
              <sz val="9"/>
              <color rgb="FF595959"/>
              <rFont val="Arial"/>
              <family val="2"/>
            </rPr>
            <t xml:space="preserve">”</t>
          </r>
          <r>
            <rPr>
              <i/>
              <sz val="9"/>
              <color rgb="FF595959"/>
              <rFont val="KaiTi"/>
              <family val="2"/>
            </rPr>
            <t xml:space="preserve">列示值，黑色为公式；差异 </t>
          </r>
          <r>
            <rPr>
              <i/>
              <sz val="9"/>
              <color rgb="FF595959"/>
              <rFont val="Arial"/>
              <family val="2"/>
            </rPr>
            <t xml:space="preserve">= </t>
          </r>
          <r>
            <rPr>
              <i/>
              <sz val="9"/>
              <color rgb="FF595959"/>
              <rFont val="KaiTi"/>
              <family val="2"/>
            </rPr>
            <t xml:space="preserve">四季合计 </t>
          </r>
          <r>
            <rPr>
              <i/>
              <sz val="9"/>
              <color rgb="FF595959"/>
              <rFont val="Arial"/>
              <family val="2"/>
            </rPr>
            <t xml:space="preserve">− </t>
          </r>
          <r>
            <rPr>
              <i/>
              <sz val="9"/>
              <color rgb="FF595959"/>
              <rFont val="KaiTi"/>
              <family val="2"/>
            </rPr>
            <t xml:space="preserve">全年报表值</t>
          </r>
        </is>
      </c>
    </row>
    <row r="3" ht="20" customHeight="1"/>
    <row r="4" ht="36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项目（百万元）</t>
          </r>
        </is>
      </c>
      <c r="B4" s="3" t="inlineStr">
        <is>
          <t xml:space="preserve">Q1</t>
        </is>
      </c>
      <c r="C4" s="3" t="inlineStr">
        <is>
          <t xml:space="preserve">Q2</t>
        </is>
      </c>
      <c r="D4" s="3" t="inlineStr">
        <is>
          <t xml:space="preserve">Q3</t>
        </is>
      </c>
      <c r="E4" s="3" t="inlineStr">
        <is>
          <t xml:space="preserve">Q4</t>
        </is>
      </c>
      <c r="F4" s="3" t="inlineStr">
        <is>
          <r>
            <rPr>
              <b/>
              <sz val="12"/>
              <color rgb="FFFFFFFF"/>
              <rFont val="KaiTi"/>
              <family val="2"/>
            </rPr>
            <t xml:space="preserve">四季合计</t>
          </r>
        </is>
      </c>
      <c r="G4" s="3" t="inlineStr">
        <is>
          <r>
            <rPr>
              <b/>
              <sz val="12"/>
              <color rgb="FFFFFFFF"/>
              <rFont val="KaiTi"/>
              <family val="2"/>
            </rPr>
            <t xml:space="preserve">全年（报表）</t>
          </r>
        </is>
      </c>
      <c r="H4" s="3" t="inlineStr">
        <is>
          <r>
            <rPr>
              <b/>
              <sz val="12"/>
              <color rgb="FFFFFFFF"/>
              <rFont val="KaiTi"/>
              <family val="2"/>
            </rPr>
            <t xml:space="preserve">差异</t>
          </r>
        </is>
      </c>
    </row>
    <row r="5" ht="20" customHeight="1">
      <c r="A5" s="12" t="inlineStr">
        <is>
          <r>
            <rPr>
              <sz val="12"/>
              <rFont val="KaiTi"/>
              <family val="2"/>
            </rPr>
            <t xml:space="preserve">营业收入</t>
          </r>
        </is>
      </c>
      <c r="B5" s="22">
        <v>5595.17451135</v>
      </c>
      <c r="C5" s="22">
        <v>6989.45705543</v>
      </c>
      <c r="D5" s="22">
        <v>6725.30317781</v>
      </c>
      <c r="E5" s="22">
        <v>8867.27638736</v>
      </c>
      <c r="F5" s="15">
        <f>SUM(B5:E5)</f>
        <v>28177.21113195</v>
      </c>
      <c r="G5" s="22">
        <v>28177.21113195</v>
      </c>
      <c r="H5" s="16">
        <f>ROUND(F5-G5,2)</f>
        <v>0.0</v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归属于上市公司股东的净利润</t>
          </r>
        </is>
      </c>
      <c r="B6" s="22">
        <v>865.44083728</v>
      </c>
      <c r="C6" s="22">
        <v>1259.12744967</v>
      </c>
      <c r="D6" s="22">
        <v>1175.3197560899998</v>
      </c>
      <c r="E6" s="22">
        <v>2712.2082249299997</v>
      </c>
      <c r="F6" s="15">
        <f>SUM(B6:E6)</f>
        <v>6012.09626797</v>
      </c>
      <c r="G6" s="22">
        <v>6012.096267970001</v>
      </c>
      <c r="H6" s="16">
        <f>ROUND(F6-G6,2)</f>
        <v>-0.0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归属于上市公司股东的扣除非经常性损益的净利润</t>
          </r>
        </is>
      </c>
      <c r="B7" s="22">
        <v>853.18050111</v>
      </c>
      <c r="C7" s="22">
        <v>1053.0030117200001</v>
      </c>
      <c r="D7" s="22">
        <v>994.7129446399999</v>
      </c>
      <c r="E7" s="22">
        <v>2123.1146794300003</v>
      </c>
      <c r="F7" s="15">
        <f>SUM(B7:E7)</f>
        <v>5024.0111369</v>
      </c>
      <c r="G7" s="22">
        <v>5024.0111369</v>
      </c>
      <c r="H7" s="16">
        <f>ROUND(F7-G7,2)</f>
        <v>0.0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非经常性损益合计</t>
          </r>
        </is>
      </c>
      <c r="B8" s="15">
        <f>B6-B7</f>
        <v>12.260336169999958</v>
      </c>
      <c r="C8" s="15">
        <f>C6-C7</f>
        <v>206.12443795000004</v>
      </c>
      <c r="D8" s="15">
        <f>D6-D7</f>
        <v>180.60681144999992</v>
      </c>
      <c r="E8" s="15">
        <f>E6-E7</f>
        <v>589.0935454999998</v>
      </c>
      <c r="F8" s="15">
        <f>SUM(B8:E8)</f>
        <v>988.0851310699996</v>
      </c>
      <c r="G8" s="22">
        <v>988.0851310700001</v>
      </c>
      <c r="H8" s="16">
        <f>ROUND(F8-G8,2)</f>
        <v>-0.0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经营活动产生的现金流量净额</t>
          </r>
        </is>
      </c>
      <c r="B9" s="22">
        <v>1380.07137909</v>
      </c>
      <c r="C9" s="22">
        <v>2146.31492284</v>
      </c>
      <c r="D9" s="22">
        <v>2277.10342147</v>
      </c>
      <c r="E9" s="22">
        <v>3251.4378879</v>
      </c>
      <c r="F9" s="15">
        <f>SUM(B9:E9)</f>
        <v>9054.9276113</v>
      </c>
      <c r="G9" s="22">
        <v>9054.9276113</v>
      </c>
      <c r="H9" s="16">
        <f>ROUND(F9-G9,2)</f>
        <v>0.0</v>
      </c>
    </row>
  </sheetData>
  <pageMargins left="0.5" right="0.5" top="0.6" bottom="0.6" header="0.3" footer="0.3"/>
  <pageSetup paperSize="9" orientation="landscape" fitToWidth="1" fitToHeight="0"/>
</worksheet>
</file>

<file path=xl/worksheets/sheet13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3" topLeftCell="B4" activePane="bottomRight" state="frozen"/>
      <selection pane="bottomRight" activeCell="B4" sqref="B4"/>
    </sheetView>
  </sheetViews>
  <sheetFormatPr defaultRowHeight="16"/>
  <cols>
    <col min="1" max="1" width="26.0" customWidth="1"/>
    <col min="2" max="2" width="16.0" customWidth="1"/>
    <col min="3" max="3" width="16.0" customWidth="1"/>
    <col min="4" max="4" width="16.0" customWidth="1"/>
    <col min="5" max="5" width="16.0" customWidth="1"/>
    <col min="6" max="6" width="16.0" customWidth="1"/>
    <col min="7" max="7" width="16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经营数据（分产品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渠道 </t>
          </r>
          <r>
            <rPr>
              <b/>
              <sz val="14"/>
              <color rgb="FF1F3864"/>
              <rFont val="Arial"/>
              <family val="2"/>
            </rPr>
            <t xml:space="preserve">/ </t>
          </r>
          <r>
            <rPr>
              <b/>
              <sz val="14"/>
              <color rgb="FF1F3864"/>
              <rFont val="KaiTi"/>
              <family val="2"/>
            </rPr>
            <t xml:space="preserve">地区，量价）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金额单位：百万元；蓝色为年报原文数（逐格核对，见 </t>
          </r>
          <r>
            <rPr>
              <i/>
              <sz val="9"/>
              <color rgb="FF595959"/>
              <rFont val="Arial"/>
              <family val="2"/>
            </rPr>
            <t xml:space="preserve">financials/extras.json</t>
          </r>
          <r>
            <rPr>
              <i/>
              <sz val="9"/>
              <color rgb="FF595959"/>
              <rFont val="KaiTi"/>
              <family val="2"/>
            </rPr>
            <t xml:space="preserve">），黑色为公式；页码为年报 </t>
          </r>
          <r>
            <rPr>
              <i/>
              <sz val="9"/>
              <color rgb="FF595959"/>
              <rFont val="Arial"/>
              <family val="2"/>
            </rPr>
            <t xml:space="preserve">PDF </t>
          </r>
          <r>
            <rPr>
              <i/>
              <sz val="9"/>
              <color rgb="FF595959"/>
              <rFont val="KaiTi"/>
              <family val="2"/>
            </rPr>
            <t xml:space="preserve">页</t>
          </r>
        </is>
      </c>
    </row>
    <row r="3" ht="20" customHeight="1"/>
    <row r="4" ht="20" customHeight="1">
      <c r="A4" s="31" t="inlineStr">
        <is>
          <r>
            <rPr>
              <b/>
              <sz val="12"/>
              <rFont val="KaiTi"/>
              <family val="2"/>
            </rPr>
            <t xml:space="preserve">分部经营情况（分板块收入、成本、净利润）（</t>
          </r>
          <r>
            <rPr>
              <b/>
              <sz val="12"/>
              <rFont val="Arial"/>
              <family val="2"/>
            </rPr>
            <t xml:space="preserve">p.20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" s="31"/>
      <c r="C4" s="31"/>
      <c r="D4" s="31"/>
      <c r="E4" s="31"/>
      <c r="F4" s="31"/>
      <c r="G4" s="31"/>
    </row>
    <row r="5" ht="36" customHeight="1">
      <c r="A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D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E5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营业成本同比</t>
          </r>
        </is>
      </c>
      <c r="F5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净利润（百万元）</t>
          </r>
        </is>
      </c>
      <c r="G5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净利润同比</t>
          </r>
        </is>
      </c>
    </row>
    <row r="6" ht="20" customHeight="1">
      <c r="A6" s="12" t="inlineStr">
        <is>
          <r>
            <rPr>
              <sz val="12"/>
              <rFont val="KaiTi"/>
              <family val="2"/>
            </rPr>
            <t xml:space="preserve">油轮运输</t>
          </r>
        </is>
      </c>
      <c r="B6" s="22">
        <v>10289.0</v>
      </c>
      <c r="C6" s="28">
        <v>0.1177</v>
      </c>
      <c r="D6" s="22">
        <v>6183.0</v>
      </c>
      <c r="E6" s="28">
        <v>0.0329</v>
      </c>
      <c r="F6" s="22">
        <v>4190.999999999999</v>
      </c>
      <c r="G6" s="28">
        <v>0.5906</v>
      </c>
    </row>
    <row r="7" ht="20" customHeight="1">
      <c r="A7" s="12" t="inlineStr">
        <is>
          <r>
            <rPr>
              <sz val="12"/>
              <rFont val="KaiTi"/>
              <family val="2"/>
            </rPr>
            <t xml:space="preserve">干散货船队</t>
          </r>
        </is>
      </c>
      <c r="B7" s="22">
        <v>8769.0</v>
      </c>
      <c r="C7" s="28">
        <v>0.1045</v>
      </c>
      <c r="D7" s="22">
        <v>7262.0</v>
      </c>
      <c r="E7" s="28">
        <v>0.1955</v>
      </c>
      <c r="F7" s="22">
        <v>1135.0</v>
      </c>
      <c r="G7" s="28">
        <v>-0.2669</v>
      </c>
    </row>
    <row r="8" ht="20" customHeight="1">
      <c r="A8" s="12" t="inlineStr">
        <is>
          <r>
            <rPr>
              <sz val="12"/>
              <rFont val="KaiTi"/>
              <family val="2"/>
            </rPr>
            <t xml:space="preserve">集装箱船队</t>
          </r>
        </is>
      </c>
      <c r="B8" s="22">
        <v>6149.0</v>
      </c>
      <c r="C8" s="28">
        <v>0.1316</v>
      </c>
      <c r="D8" s="22">
        <v>4770.0</v>
      </c>
      <c r="E8" s="28">
        <v>0.253</v>
      </c>
      <c r="F8" s="22">
        <v>1359.0</v>
      </c>
      <c r="G8" s="28">
        <v>0.0346</v>
      </c>
    </row>
    <row r="9" ht="20" customHeight="1">
      <c r="A9" s="12" t="inlineStr">
        <is>
          <r>
            <rPr>
              <sz val="12"/>
              <rFont val="KaiTi"/>
              <family val="2"/>
            </rPr>
            <t xml:space="preserve">滚装船队</t>
          </r>
        </is>
      </c>
      <c r="B9" s="22">
        <v>1689.9999999999998</v>
      </c>
      <c r="C9" s="28">
        <v>-0.07980000000000001</v>
      </c>
      <c r="D9" s="22">
        <v>1271.0</v>
      </c>
      <c r="E9" s="28">
        <v>-0.0101</v>
      </c>
      <c r="F9" s="22">
        <v>229.0</v>
      </c>
      <c r="G9" s="28">
        <v>-0.3191</v>
      </c>
    </row>
    <row r="10" ht="20" customHeight="1">
      <c r="A10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船队</t>
          </r>
        </is>
      </c>
      <c r="B10" s="22">
        <v>55.00000000000001</v>
      </c>
      <c r="C10" s="28">
        <v>0.8316</v>
      </c>
      <c r="D10" s="22">
        <v>39.0</v>
      </c>
      <c r="E10" s="28">
        <v>1.4327</v>
      </c>
      <c r="F10" s="22">
        <v>671.0</v>
      </c>
      <c r="G10" s="28">
        <v>0.1108</v>
      </c>
    </row>
    <row r="11" ht="20" customHeight="1">
      <c r="A11" s="31" t="inlineStr">
        <is>
          <r>
            <rPr>
              <b/>
              <sz val="12"/>
              <rFont val="KaiTi"/>
              <family val="2"/>
            </rPr>
            <t xml:space="preserve">主营业务分行业（收入、成本、毛利率）（</t>
          </r>
          <r>
            <rPr>
              <b/>
              <sz val="12"/>
              <rFont val="Arial"/>
              <family val="2"/>
            </rPr>
            <t xml:space="preserve">p.21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" s="31"/>
      <c r="C11" s="31"/>
      <c r="D11" s="31"/>
      <c r="E11" s="31"/>
      <c r="F11" s="31"/>
      <c r="G11" s="31"/>
    </row>
    <row r="12" ht="36" customHeight="1">
      <c r="A1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C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营业成本（百万元）</t>
          </r>
        </is>
      </c>
      <c r="D12" s="3" t="inlineStr">
        <is>
          <r>
            <rPr>
              <b/>
              <sz val="12"/>
              <color rgb="FFFFFFFF"/>
              <rFont val="KaiTi"/>
              <family val="2"/>
            </rPr>
            <t xml:space="preserve">毛利率</t>
          </r>
        </is>
      </c>
      <c r="E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营业收入同比</t>
          </r>
        </is>
      </c>
      <c r="F12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营业成本同比</t>
          </r>
        </is>
      </c>
    </row>
    <row r="13" ht="20" customHeight="1">
      <c r="A13" s="12" t="inlineStr">
        <is>
          <r>
            <rPr>
              <sz val="12"/>
              <rFont val="KaiTi"/>
              <family val="2"/>
            </rPr>
            <t xml:space="preserve">油轮运输</t>
          </r>
        </is>
      </c>
      <c r="B13" s="22">
        <v>10289.27651557</v>
      </c>
      <c r="C13" s="22">
        <v>6183.18506742</v>
      </c>
      <c r="D13" s="28">
        <v>0.39909999999999995</v>
      </c>
      <c r="E13" s="28">
        <v>0.1177</v>
      </c>
      <c r="F13" s="28">
        <v>0.0329</v>
      </c>
    </row>
    <row r="14" ht="20" customHeight="1">
      <c r="A14" s="12" t="inlineStr">
        <is>
          <r>
            <rPr>
              <sz val="12"/>
              <rFont val="KaiTi"/>
              <family val="2"/>
            </rPr>
            <t xml:space="preserve">散货船运输</t>
          </r>
        </is>
      </c>
      <c r="B14" s="22">
        <v>8769.388393770001</v>
      </c>
      <c r="C14" s="22">
        <v>7301.344253810001</v>
      </c>
      <c r="D14" s="28">
        <v>0.1674</v>
      </c>
      <c r="E14" s="28">
        <v>0.10439999999999999</v>
      </c>
      <c r="F14" s="28">
        <v>0.20199999999999999</v>
      </c>
    </row>
    <row r="15" ht="20" customHeight="1">
      <c r="A15" s="12" t="inlineStr">
        <is>
          <r>
            <rPr>
              <sz val="12"/>
              <rFont val="KaiTi"/>
              <family val="2"/>
            </rPr>
            <t xml:space="preserve">集装箱运输</t>
          </r>
        </is>
      </c>
      <c r="B15" s="22">
        <v>6149.21517625</v>
      </c>
      <c r="C15" s="22">
        <v>4770.48368604</v>
      </c>
      <c r="D15" s="28">
        <v>0.2242</v>
      </c>
      <c r="E15" s="28">
        <v>0.1315</v>
      </c>
      <c r="F15" s="28">
        <v>0.253</v>
      </c>
    </row>
    <row r="16" ht="20" customHeight="1">
      <c r="A16" s="12" t="inlineStr">
        <is>
          <r>
            <rPr>
              <sz val="12"/>
              <rFont val="KaiTi"/>
              <family val="2"/>
            </rPr>
            <t xml:space="preserve">滚装船运输</t>
          </r>
        </is>
      </c>
      <c r="B16" s="22">
        <v>1690.42776464</v>
      </c>
      <c r="C16" s="22">
        <v>1273.2592446800002</v>
      </c>
      <c r="D16" s="28">
        <v>0.2468</v>
      </c>
      <c r="E16" s="28">
        <v>-0.0797</v>
      </c>
      <c r="F16" s="28">
        <v>-0.0083</v>
      </c>
    </row>
    <row r="17" ht="20" customHeight="1">
      <c r="A17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运输</t>
          </r>
        </is>
      </c>
      <c r="B17" s="22">
        <v>54.94909527</v>
      </c>
      <c r="C17" s="22">
        <v>39.08539128</v>
      </c>
      <c r="D17" s="28">
        <v>0.2887</v>
      </c>
      <c r="E17" s="28">
        <v>0.8316</v>
      </c>
      <c r="F17" s="28">
        <v>1.4428</v>
      </c>
    </row>
    <row r="18" ht="20" customHeight="1">
      <c r="A18" s="31" t="inlineStr">
        <is>
          <r>
            <rPr>
              <b/>
              <sz val="12"/>
              <rFont val="KaiTi"/>
              <family val="2"/>
            </rPr>
            <t xml:space="preserve">报告期末船队概况（</t>
          </r>
          <r>
            <rPr>
              <b/>
              <sz val="12"/>
              <rFont val="Arial"/>
              <family val="2"/>
            </rPr>
            <t xml:space="preserve">p.15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8" s="31"/>
      <c r="C18" s="31"/>
      <c r="D18" s="31"/>
      <c r="E18" s="31"/>
      <c r="F18" s="31"/>
      <c r="G18" s="31"/>
    </row>
    <row r="19" ht="36" customHeight="1">
      <c r="A1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9" s="3" t="inlineStr">
        <is>
          <r>
            <rPr>
              <b/>
              <sz val="12"/>
              <color rgb="FFFFFFFF"/>
              <rFont val="KaiTi"/>
              <family val="2"/>
            </rPr>
            <t xml:space="preserve">现有船舶艘数（艘）</t>
          </r>
        </is>
      </c>
      <c r="C19" s="3" t="inlineStr">
        <is>
          <r>
            <rPr>
              <b/>
              <sz val="12"/>
              <color rgb="FFFFFFFF"/>
              <rFont val="KaiTi"/>
              <family val="2"/>
            </rPr>
            <t xml:space="preserve">现有总载重量（万吨）</t>
          </r>
        </is>
      </c>
      <c r="D19" s="3" t="inlineStr">
        <is>
          <r>
            <rPr>
              <b/>
              <sz val="12"/>
              <color rgb="FFFFFFFF"/>
              <rFont val="KaiTi"/>
              <family val="2"/>
            </rPr>
            <t xml:space="preserve">平均船龄（年）</t>
          </r>
        </is>
      </c>
      <c r="E19" s="3" t="inlineStr">
        <is>
          <r>
            <rPr>
              <b/>
              <sz val="12"/>
              <color rgb="FFFFFFFF"/>
              <rFont val="KaiTi"/>
              <family val="2"/>
            </rPr>
            <t xml:space="preserve">订单船舶艘数（艘）</t>
          </r>
        </is>
      </c>
      <c r="F19" s="3" t="inlineStr">
        <is>
          <r>
            <rPr>
              <b/>
              <sz val="12"/>
              <color rgb="FFFFFFFF"/>
              <rFont val="KaiTi"/>
              <family val="2"/>
            </rPr>
            <t xml:space="preserve">订单总载重量（万吨）</t>
          </r>
        </is>
      </c>
    </row>
    <row r="20" ht="20" customHeight="1">
      <c r="A20" s="12" t="inlineStr">
        <is>
          <r>
            <rPr>
              <sz val="12"/>
              <rFont val="KaiTi"/>
              <family val="2"/>
            </rPr>
            <t xml:space="preserve">油轮小计</t>
          </r>
        </is>
      </c>
      <c r="B20" s="25">
        <v>58.0</v>
      </c>
      <c r="C20" s="25">
        <v>1642.7</v>
      </c>
      <c r="D20" s="25">
        <v>10.08</v>
      </c>
      <c r="E20" s="25">
        <v>13.0</v>
      </c>
      <c r="F20" s="25">
        <v>244.85</v>
      </c>
    </row>
    <row r="21" ht="20" customHeight="1">
      <c r="A21" s="12" t="inlineStr">
        <is>
          <t xml:space="preserve">VLCC</t>
        </is>
      </c>
      <c r="B21" s="25">
        <v>51.0</v>
      </c>
      <c r="C21" s="25">
        <v>1576.01</v>
      </c>
      <c r="D21" s="25">
        <v>10.3</v>
      </c>
      <c r="E21" s="25">
        <v>5.0</v>
      </c>
      <c r="F21" s="25">
        <v>152.95</v>
      </c>
    </row>
    <row r="22" ht="20" customHeight="1">
      <c r="A22" s="12" t="inlineStr">
        <is>
          <r>
            <rPr>
              <sz val="12"/>
              <rFont val="KaiTi"/>
              <family val="2"/>
            </rPr>
            <t xml:space="preserve">气体船小计</t>
          </r>
        </is>
      </c>
      <c r="B22" s="25">
        <v>30.0</v>
      </c>
      <c r="C22" s="25">
        <v>260.92</v>
      </c>
      <c r="D22" s="25">
        <v>7.1</v>
      </c>
      <c r="E22" s="25">
        <v>34.0</v>
      </c>
      <c r="F22" s="25">
        <v>301.66</v>
      </c>
    </row>
    <row r="23" ht="20" customHeight="1">
      <c r="A23" s="12" t="inlineStr">
        <is>
          <r>
            <rPr>
              <sz val="12"/>
              <rFont val="KaiTi"/>
              <family val="2"/>
            </rPr>
            <t xml:space="preserve">散货船小计</t>
          </r>
        </is>
      </c>
      <c r="B23" s="25">
        <v>98.0</v>
      </c>
      <c r="C23" s="25">
        <v>1882.03</v>
      </c>
      <c r="D23" s="25">
        <v>10.61</v>
      </c>
      <c r="E23" s="25">
        <v>12.0</v>
      </c>
      <c r="F23" s="25">
        <v>227.2</v>
      </c>
    </row>
    <row r="24" ht="20" customHeight="1">
      <c r="A24" s="12" t="inlineStr">
        <is>
          <t xml:space="preserve">VLOC</t>
        </is>
      </c>
      <c r="B24" s="25">
        <v>34.0</v>
      </c>
      <c r="C24" s="25">
        <v>1313.13</v>
      </c>
      <c r="D24" s="25">
        <v>8.18</v>
      </c>
      <c r="E24" s="12"/>
      <c r="F24" s="12"/>
    </row>
    <row r="25" ht="20" customHeight="1">
      <c r="A25" s="12" t="inlineStr">
        <is>
          <r>
            <rPr>
              <sz val="12"/>
              <rFont val="KaiTi"/>
              <family val="2"/>
            </rPr>
            <t xml:space="preserve">滚装船小计</t>
          </r>
        </is>
      </c>
      <c r="B25" s="25">
        <v>23.0</v>
      </c>
      <c r="C25" s="25">
        <v>13.53</v>
      </c>
      <c r="D25" s="25">
        <v>11.5</v>
      </c>
      <c r="E25" s="25">
        <v>4.0</v>
      </c>
      <c r="F25" s="25">
        <v>8.2</v>
      </c>
    </row>
    <row r="26" ht="20" customHeight="1">
      <c r="A26" s="12" t="inlineStr">
        <is>
          <r>
            <rPr>
              <sz val="12"/>
              <rFont val="KaiTi"/>
              <family val="2"/>
            </rPr>
            <t xml:space="preserve">集装箱船小计</t>
          </r>
        </is>
      </c>
      <c r="B26" s="25">
        <v>19.0</v>
      </c>
      <c r="C26" s="25">
        <v>42.4</v>
      </c>
      <c r="D26" s="25">
        <v>11.5</v>
      </c>
      <c r="E26" s="12"/>
      <c r="F26" s="12"/>
    </row>
    <row r="27" ht="20" customHeight="1">
      <c r="A27" s="12" t="inlineStr">
        <is>
          <r>
            <rPr>
              <sz val="12"/>
              <rFont val="KaiTi"/>
              <family val="2"/>
            </rPr>
            <t xml:space="preserve">自有船总计</t>
          </r>
        </is>
      </c>
      <c r="B27" s="25">
        <v>235.0</v>
      </c>
      <c r="C27" s="25">
        <v>3884.59</v>
      </c>
      <c r="D27" s="12"/>
      <c r="E27" s="25">
        <v>64.0</v>
      </c>
      <c r="F27" s="25">
        <v>788.02</v>
      </c>
    </row>
    <row r="28" ht="20" customHeight="1">
      <c r="A28" s="31" t="inlineStr">
        <is>
          <r>
            <rPr>
              <b/>
              <sz val="12"/>
              <rFont val="KaiTi"/>
              <family val="2"/>
            </rPr>
            <t xml:space="preserve">船队货运量（</t>
          </r>
          <r>
            <rPr>
              <b/>
              <sz val="12"/>
              <rFont val="Arial"/>
              <family val="2"/>
            </rPr>
            <t xml:space="preserve">p.15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28" s="31"/>
      <c r="C28" s="31"/>
      <c r="D28" s="31"/>
      <c r="E28" s="31"/>
      <c r="F28" s="31"/>
      <c r="G28" s="31"/>
    </row>
    <row r="29" ht="24" customHeight="1">
      <c r="A2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29" s="3" t="inlineStr">
        <is>
          <r>
            <rPr>
              <b/>
              <sz val="12"/>
              <color rgb="FFFFFFFF"/>
              <rFont val="KaiTi"/>
              <family val="2"/>
            </rPr>
            <t xml:space="preserve">货运量（万吨）</t>
          </r>
        </is>
      </c>
    </row>
    <row r="30" ht="20" customHeight="1">
      <c r="A30" s="12" t="inlineStr">
        <is>
          <r>
            <rPr>
              <sz val="12"/>
              <rFont val="KaiTi"/>
              <family val="2"/>
            </rPr>
            <t xml:space="preserve">油轮</t>
          </r>
        </is>
      </c>
      <c r="B30" s="25">
        <v>8162.0</v>
      </c>
    </row>
    <row r="31" ht="20" customHeight="1">
      <c r="A31" s="12" t="inlineStr">
        <is>
          <r>
            <rPr>
              <sz val="12"/>
              <rFont val="KaiTi"/>
              <family val="2"/>
            </rPr>
            <t xml:space="preserve">干散货</t>
          </r>
        </is>
      </c>
      <c r="B31" s="25">
        <v>11419.0</v>
      </c>
    </row>
    <row r="32" ht="20" customHeight="1">
      <c r="A32" s="12" t="inlineStr">
        <is>
          <t xml:space="preserve">LNG</t>
        </is>
      </c>
      <c r="B32" s="25">
        <v>2467.0</v>
      </c>
    </row>
    <row r="33" ht="20" customHeight="1">
      <c r="A33" s="12" t="inlineStr">
        <is>
          <r>
            <rPr>
              <sz val="12"/>
              <rFont val="KaiTi"/>
              <family val="2"/>
            </rPr>
            <t xml:space="preserve">滚装</t>
          </r>
        </is>
      </c>
      <c r="B33" s="25">
        <v>664.0</v>
      </c>
    </row>
    <row r="34" ht="20" customHeight="1">
      <c r="A34" s="31" t="inlineStr">
        <is>
          <r>
            <rPr>
              <b/>
              <sz val="12"/>
              <rFont val="KaiTi"/>
              <family val="2"/>
            </rPr>
            <t xml:space="preserve">汽车滚装船队运量（</t>
          </r>
          <r>
            <rPr>
              <b/>
              <sz val="12"/>
              <rFont val="Arial"/>
              <family val="2"/>
            </rPr>
            <t xml:space="preserve">p.17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34" s="31"/>
      <c r="C34" s="31"/>
      <c r="D34" s="31"/>
      <c r="E34" s="31"/>
      <c r="F34" s="31"/>
      <c r="G34" s="31"/>
    </row>
    <row r="35" ht="24" customHeight="1">
      <c r="A3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35" s="3" t="inlineStr">
        <is>
          <r>
            <rPr>
              <b/>
              <sz val="12"/>
              <color rgb="FFFFFFFF"/>
              <rFont val="KaiTi"/>
              <family val="2"/>
            </rPr>
            <t xml:space="preserve">运量（万辆）</t>
          </r>
        </is>
      </c>
      <c r="C35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36" ht="20" customHeight="1">
      <c r="A36" s="12" t="inlineStr">
        <is>
          <r>
            <rPr>
              <sz val="12"/>
              <rFont val="KaiTi"/>
              <family val="2"/>
            </rPr>
            <t xml:space="preserve">全年完成运量</t>
          </r>
        </is>
      </c>
      <c r="B36" s="25">
        <v>68.71</v>
      </c>
      <c r="C36" s="12"/>
    </row>
    <row r="37" ht="20" customHeight="1">
      <c r="A37" s="12" t="inlineStr">
        <is>
          <r>
            <rPr>
              <sz val="12"/>
              <rFont val="KaiTi"/>
              <family val="2"/>
            </rPr>
            <t xml:space="preserve">外贸运量</t>
          </r>
        </is>
      </c>
      <c r="B37" s="25">
        <v>15.67</v>
      </c>
      <c r="C37" s="28">
        <v>0.47</v>
      </c>
    </row>
    <row r="38" ht="20" customHeight="1">
      <c r="A38" s="12" t="inlineStr">
        <is>
          <r>
            <rPr>
              <sz val="12"/>
              <rFont val="KaiTi"/>
              <family val="2"/>
            </rPr>
            <t xml:space="preserve">沿海运量</t>
          </r>
        </is>
      </c>
      <c r="B38" s="25">
        <v>31.33</v>
      </c>
      <c r="C38" s="28">
        <v>-0.19</v>
      </c>
    </row>
    <row r="39" ht="20" customHeight="1">
      <c r="A39" s="12" t="inlineStr">
        <is>
          <r>
            <rPr>
              <sz val="12"/>
              <rFont val="KaiTi"/>
              <family val="2"/>
            </rPr>
            <t xml:space="preserve">长江运量</t>
          </r>
        </is>
      </c>
      <c r="B39" s="25">
        <v>21.71</v>
      </c>
      <c r="C39" s="28">
        <v>-0.25</v>
      </c>
    </row>
    <row r="40" ht="20" customHeight="1">
      <c r="A40" s="31" t="inlineStr">
        <is>
          <r>
            <rPr>
              <b/>
              <sz val="12"/>
              <rFont val="Arial"/>
              <family val="2"/>
            </rPr>
            <t xml:space="preserve">LNG </t>
          </r>
          <r>
            <rPr>
              <b/>
              <sz val="12"/>
              <rFont val="KaiTi"/>
              <family val="2"/>
            </rPr>
            <t xml:space="preserve">船队投资项目（</t>
          </r>
          <r>
            <rPr>
              <b/>
              <sz val="12"/>
              <rFont val="Arial"/>
              <family val="2"/>
            </rPr>
            <t xml:space="preserve">p.16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0" s="31"/>
      <c r="C40" s="31"/>
      <c r="D40" s="31"/>
      <c r="E40" s="31"/>
      <c r="F40" s="31"/>
      <c r="G40" s="31"/>
    </row>
    <row r="41" ht="24" customHeight="1">
      <c r="A4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1" s="3" t="inlineStr">
        <is>
          <r>
            <rPr>
              <b/>
              <sz val="12"/>
              <color rgb="FFFFFFFF"/>
              <rFont val="KaiTi"/>
              <family val="2"/>
            </rPr>
            <t xml:space="preserve">艘数（艘）</t>
          </r>
        </is>
      </c>
    </row>
    <row r="42" ht="20" customHeight="1">
      <c r="A42" s="12" t="inlineStr">
        <is>
          <r>
            <rPr>
              <sz val="12"/>
              <rFont val="KaiTi"/>
              <family val="2"/>
            </rPr>
            <t xml:space="preserve">已投资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船舶</t>
          </r>
        </is>
      </c>
      <c r="B42" s="25">
        <v>64.0</v>
      </c>
    </row>
    <row r="43" ht="20" customHeight="1">
      <c r="A43" s="12" t="inlineStr">
        <is>
          <r>
            <rPr>
              <sz val="12"/>
              <rFont val="KaiTi"/>
              <family val="2"/>
            </rPr>
            <t xml:space="preserve">其中已锁定长约</t>
          </r>
        </is>
      </c>
      <c r="B43" s="25">
        <v>61.0</v>
      </c>
    </row>
    <row r="44" ht="20" customHeight="1">
      <c r="A44" s="31" t="inlineStr">
        <is>
          <r>
            <rPr>
              <b/>
              <sz val="12"/>
              <rFont val="KaiTi"/>
              <family val="2"/>
            </rPr>
            <t xml:space="preserve">分板块燃油费（</t>
          </r>
          <r>
            <rPr>
              <b/>
              <sz val="12"/>
              <rFont val="Arial"/>
              <family val="2"/>
            </rPr>
            <t xml:space="preserve">p.22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44" s="31"/>
      <c r="C44" s="31"/>
      <c r="D44" s="31"/>
      <c r="E44" s="31"/>
      <c r="F44" s="31"/>
      <c r="G44" s="31"/>
    </row>
    <row r="45" ht="36" customHeight="1">
      <c r="A45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45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本期金额（百万元）</t>
          </r>
        </is>
      </c>
      <c r="C45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上年同期金额（百万元）</t>
          </r>
        </is>
      </c>
      <c r="D45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46" ht="20" customHeight="1">
      <c r="A46" s="12" t="inlineStr">
        <is>
          <r>
            <rPr>
              <sz val="12"/>
              <rFont val="KaiTi"/>
              <family val="2"/>
            </rPr>
            <t xml:space="preserve">油轮运输</t>
          </r>
        </is>
      </c>
      <c r="B46" s="22">
        <v>2467.72988292</v>
      </c>
      <c r="C46" s="22">
        <v>2589.03989017</v>
      </c>
      <c r="D46" s="28">
        <v>-0.046900000000000004</v>
      </c>
    </row>
    <row r="47" ht="20" customHeight="1">
      <c r="A47" s="12" t="inlineStr">
        <is>
          <r>
            <rPr>
              <sz val="12"/>
              <rFont val="KaiTi"/>
              <family val="2"/>
            </rPr>
            <t xml:space="preserve">散货船运输</t>
          </r>
        </is>
      </c>
      <c r="B47" s="22">
        <v>1826.10039205</v>
      </c>
      <c r="C47" s="22">
        <v>1711.2002839900001</v>
      </c>
      <c r="D47" s="28">
        <v>0.06709999999999999</v>
      </c>
    </row>
    <row r="48" ht="20" customHeight="1">
      <c r="A48" s="12" t="inlineStr">
        <is>
          <r>
            <rPr>
              <sz val="12"/>
              <rFont val="KaiTi"/>
              <family val="2"/>
            </rPr>
            <t xml:space="preserve">集装箱运输</t>
          </r>
        </is>
      </c>
      <c r="B48" s="22">
        <v>826.4823820700001</v>
      </c>
      <c r="C48" s="22">
        <v>743.07293644</v>
      </c>
      <c r="D48" s="28">
        <v>0.11220000000000001</v>
      </c>
    </row>
    <row r="49" ht="20" customHeight="1">
      <c r="A49" s="12" t="inlineStr">
        <is>
          <r>
            <rPr>
              <sz val="12"/>
              <rFont val="KaiTi"/>
              <family val="2"/>
            </rPr>
            <t xml:space="preserve">滚装船运输</t>
          </r>
        </is>
      </c>
      <c r="B49" s="22">
        <v>249.43948003999998</v>
      </c>
      <c r="C49" s="22">
        <v>288.1753344</v>
      </c>
      <c r="D49" s="28">
        <v>-0.1344</v>
      </c>
    </row>
    <row r="50" ht="20" customHeight="1">
      <c r="A50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运输</t>
          </r>
        </is>
      </c>
      <c r="B50" s="22">
        <v>4.03537277</v>
      </c>
      <c r="C50" s="12"/>
      <c r="D50" s="12"/>
    </row>
    <row r="51" ht="20" customHeight="1">
      <c r="A51" s="31" t="inlineStr">
        <is>
          <r>
            <rPr>
              <b/>
              <sz val="12"/>
              <rFont val="KaiTi"/>
              <family val="2"/>
            </rPr>
            <t xml:space="preserve">分板块船舶折旧费（</t>
          </r>
          <r>
            <rPr>
              <b/>
              <sz val="12"/>
              <rFont val="Arial"/>
              <family val="2"/>
            </rPr>
            <t xml:space="preserve">p.22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51" s="31"/>
      <c r="C51" s="31"/>
      <c r="D51" s="31"/>
      <c r="E51" s="31"/>
      <c r="F51" s="31"/>
      <c r="G51" s="31"/>
    </row>
    <row r="52" ht="36" customHeight="1">
      <c r="A52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2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本期金额（百万元）</t>
          </r>
        </is>
      </c>
      <c r="C52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上年同期金额（百万元）</t>
          </r>
        </is>
      </c>
      <c r="D52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53" ht="20" customHeight="1">
      <c r="A53" s="12" t="inlineStr">
        <is>
          <r>
            <rPr>
              <sz val="12"/>
              <rFont val="KaiTi"/>
              <family val="2"/>
            </rPr>
            <t xml:space="preserve">油轮运输</t>
          </r>
        </is>
      </c>
      <c r="B53" s="22">
        <v>1281.63072878</v>
      </c>
      <c r="C53" s="22">
        <v>1239.31572514</v>
      </c>
      <c r="D53" s="28">
        <v>0.0341</v>
      </c>
    </row>
    <row r="54" ht="20" customHeight="1">
      <c r="A54" s="12" t="inlineStr">
        <is>
          <r>
            <rPr>
              <sz val="12"/>
              <rFont val="KaiTi"/>
              <family val="2"/>
            </rPr>
            <t xml:space="preserve">散货船运输</t>
          </r>
        </is>
      </c>
      <c r="B54" s="22">
        <v>1195.85620346</v>
      </c>
      <c r="C54" s="22">
        <v>923.85705178</v>
      </c>
      <c r="D54" s="28">
        <v>0.2944</v>
      </c>
    </row>
    <row r="55" ht="20" customHeight="1">
      <c r="A55" s="12" t="inlineStr">
        <is>
          <r>
            <rPr>
              <sz val="12"/>
              <rFont val="KaiTi"/>
              <family val="2"/>
            </rPr>
            <t xml:space="preserve">集装箱运输</t>
          </r>
        </is>
      </c>
      <c r="B55" s="22">
        <v>87.14313974</v>
      </c>
      <c r="C55" s="22">
        <v>86.0070885</v>
      </c>
      <c r="D55" s="28">
        <v>0.0132</v>
      </c>
    </row>
    <row r="56" ht="20" customHeight="1">
      <c r="A56" s="12" t="inlineStr">
        <is>
          <r>
            <rPr>
              <sz val="12"/>
              <rFont val="KaiTi"/>
              <family val="2"/>
            </rPr>
            <t xml:space="preserve">滚装船运输</t>
          </r>
        </is>
      </c>
      <c r="B56" s="22">
        <v>99.81945739</v>
      </c>
      <c r="C56" s="22">
        <v>94.70197354999999</v>
      </c>
      <c r="D56" s="28">
        <v>0.054000000000000006</v>
      </c>
    </row>
    <row r="57" ht="20" customHeight="1">
      <c r="A57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运输</t>
          </r>
        </is>
      </c>
      <c r="B57" s="22">
        <v>11.15122983</v>
      </c>
      <c r="C57" s="12"/>
      <c r="D57" s="12"/>
    </row>
    <row r="58" ht="20" customHeight="1">
      <c r="A58" s="31" t="inlineStr">
        <is>
          <r>
            <rPr>
              <b/>
              <sz val="12"/>
              <rFont val="KaiTi"/>
              <family val="2"/>
            </rPr>
            <t xml:space="preserve">分板块船员费用（</t>
          </r>
          <r>
            <rPr>
              <b/>
              <sz val="12"/>
              <rFont val="Arial"/>
              <family val="2"/>
            </rPr>
            <t xml:space="preserve">p.22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58" s="31"/>
      <c r="C58" s="31"/>
      <c r="D58" s="31"/>
      <c r="E58" s="31"/>
      <c r="F58" s="31"/>
      <c r="G58" s="31"/>
    </row>
    <row r="59" ht="36" customHeight="1">
      <c r="A5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59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本期金额（百万元）</t>
          </r>
        </is>
      </c>
      <c r="C59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上年同期金额（百万元）</t>
          </r>
        </is>
      </c>
      <c r="D59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60" ht="20" customHeight="1">
      <c r="A60" s="12" t="inlineStr">
        <is>
          <r>
            <rPr>
              <sz val="12"/>
              <rFont val="KaiTi"/>
              <family val="2"/>
            </rPr>
            <t xml:space="preserve">油轮运输</t>
          </r>
        </is>
      </c>
      <c r="B60" s="22">
        <v>789.53164878</v>
      </c>
      <c r="C60" s="22">
        <v>759.2875692</v>
      </c>
      <c r="D60" s="28">
        <v>0.0398</v>
      </c>
    </row>
    <row r="61" ht="20" customHeight="1">
      <c r="A61" s="12" t="inlineStr">
        <is>
          <r>
            <rPr>
              <sz val="12"/>
              <rFont val="KaiTi"/>
              <family val="2"/>
            </rPr>
            <t xml:space="preserve">散货船运输</t>
          </r>
        </is>
      </c>
      <c r="B61" s="22">
        <v>864.81603199</v>
      </c>
      <c r="C61" s="22">
        <v>834.17930188</v>
      </c>
      <c r="D61" s="28">
        <v>0.036699999999999997</v>
      </c>
    </row>
    <row r="62" ht="20" customHeight="1">
      <c r="A62" s="12" t="inlineStr">
        <is>
          <r>
            <rPr>
              <sz val="12"/>
              <rFont val="KaiTi"/>
              <family val="2"/>
            </rPr>
            <t xml:space="preserve">集装箱运输</t>
          </r>
        </is>
      </c>
      <c r="B62" s="22">
        <v>164.89214556</v>
      </c>
      <c r="C62" s="22">
        <v>166.48937123</v>
      </c>
      <c r="D62" s="28">
        <v>-0.0096</v>
      </c>
    </row>
    <row r="63" ht="20" customHeight="1">
      <c r="A63" s="12" t="inlineStr">
        <is>
          <r>
            <rPr>
              <sz val="12"/>
              <rFont val="KaiTi"/>
              <family val="2"/>
            </rPr>
            <t xml:space="preserve">滚装船运输</t>
          </r>
        </is>
      </c>
      <c r="B63" s="22">
        <v>99.61110758</v>
      </c>
      <c r="C63" s="22">
        <v>96.48223282</v>
      </c>
      <c r="D63" s="28">
        <v>0.032400000000000005</v>
      </c>
    </row>
    <row r="64" ht="20" customHeight="1">
      <c r="A64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运输</t>
          </r>
        </is>
      </c>
      <c r="B64" s="22">
        <v>21.06902892</v>
      </c>
      <c r="C64" s="22">
        <v>10.36646397</v>
      </c>
      <c r="D64" s="28">
        <v>1.0324</v>
      </c>
    </row>
    <row r="65" ht="20" customHeight="1">
      <c r="A65" s="31" t="inlineStr">
        <is>
          <r>
            <rPr>
              <b/>
              <sz val="12"/>
              <rFont val="KaiTi"/>
              <family val="2"/>
            </rPr>
            <t xml:space="preserve">分板块船舶租金（</t>
          </r>
          <r>
            <rPr>
              <b/>
              <sz val="12"/>
              <rFont val="Arial"/>
              <family val="2"/>
            </rPr>
            <t xml:space="preserve">p.22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65" s="31"/>
      <c r="C65" s="31"/>
      <c r="D65" s="31"/>
      <c r="E65" s="31"/>
      <c r="F65" s="31"/>
      <c r="G65" s="31"/>
    </row>
    <row r="66" ht="36" customHeight="1">
      <c r="A66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66" s="3" t="inlineStr">
        <is>
          <r>
            <rPr>
              <b/>
              <sz val="12"/>
              <color rgb="FFFFFFFF"/>
              <rFont val="KaiTi"/>
              <family val="2"/>
            </rPr>
            <t xml:space="preserve">本期金额（百万元）</t>
          </r>
        </is>
      </c>
      <c r="C66" s="3" t="inlineStr">
        <is>
          <r>
            <rPr>
              <b/>
              <sz val="12"/>
              <color rgb="FFFFFFFF"/>
              <rFont val="KaiTi"/>
              <family val="2"/>
            </rPr>
            <t xml:space="preserve">上年同期金额（百万元）</t>
          </r>
        </is>
      </c>
      <c r="D66" s="3" t="inlineStr">
        <is>
          <r>
            <rPr>
              <b/>
              <sz val="12"/>
              <color rgb="FFFFFFFF"/>
              <rFont val="KaiTi"/>
              <family val="2"/>
            </rPr>
            <t xml:space="preserve">同比</t>
          </r>
        </is>
      </c>
    </row>
    <row r="67" ht="20" customHeight="1">
      <c r="A67" s="12" t="inlineStr">
        <is>
          <r>
            <rPr>
              <sz val="12"/>
              <rFont val="KaiTi"/>
              <family val="2"/>
            </rPr>
            <t xml:space="preserve">油轮运输</t>
          </r>
        </is>
      </c>
      <c r="B67" s="22">
        <v>72.42658254999999</v>
      </c>
      <c r="C67" s="12"/>
      <c r="D67" s="12"/>
    </row>
    <row r="68" ht="20" customHeight="1">
      <c r="A68" s="12" t="inlineStr">
        <is>
          <r>
            <rPr>
              <sz val="12"/>
              <rFont val="KaiTi"/>
              <family val="2"/>
            </rPr>
            <t xml:space="preserve">散货船运输</t>
          </r>
        </is>
      </c>
      <c r="B68" s="22">
        <v>837.7145827300001</v>
      </c>
      <c r="C68" s="22">
        <v>787.94660468</v>
      </c>
      <c r="D68" s="28">
        <v>0.0632</v>
      </c>
    </row>
    <row r="69" ht="20" customHeight="1">
      <c r="A69" s="12" t="inlineStr">
        <is>
          <r>
            <rPr>
              <sz val="12"/>
              <rFont val="KaiTi"/>
              <family val="2"/>
            </rPr>
            <t xml:space="preserve">集装箱运输</t>
          </r>
        </is>
      </c>
      <c r="B69" s="22">
        <v>1002.3668300700001</v>
      </c>
      <c r="C69" s="22">
        <v>583.60002012</v>
      </c>
      <c r="D69" s="28">
        <v>0.7176</v>
      </c>
    </row>
    <row r="70" ht="20" customHeight="1">
      <c r="A70" s="31" t="inlineStr">
        <is>
          <r>
            <rPr>
              <b/>
              <sz val="12"/>
              <rFont val="KaiTi"/>
              <family val="2"/>
            </rPr>
            <t xml:space="preserve">主要控股参股公司（</t>
          </r>
          <r>
            <rPr>
              <b/>
              <sz val="12"/>
              <rFont val="Arial"/>
              <family val="2"/>
            </rPr>
            <t xml:space="preserve">p.38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0" s="31"/>
      <c r="C70" s="31"/>
      <c r="D70" s="31"/>
      <c r="E70" s="31"/>
      <c r="F70" s="31"/>
      <c r="G70" s="31"/>
    </row>
    <row r="71" ht="36" customHeight="1">
      <c r="A71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71" s="3" t="inlineStr">
        <is>
          <r>
            <rPr>
              <b/>
              <sz val="12"/>
              <color rgb="FFFFFFFF"/>
              <rFont val="KaiTi"/>
              <family val="2"/>
            </rPr>
            <t xml:space="preserve">总资产（百万元）</t>
          </r>
        </is>
      </c>
      <c r="C71" s="3" t="inlineStr">
        <is>
          <r>
            <rPr>
              <b/>
              <sz val="12"/>
              <color rgb="FFFFFFFF"/>
              <rFont val="KaiTi"/>
              <family val="2"/>
            </rPr>
            <t xml:space="preserve">净资产（百万元）</t>
          </r>
        </is>
      </c>
      <c r="D71" s="3" t="inlineStr">
        <is>
          <r>
            <rPr>
              <b/>
              <sz val="12"/>
              <color rgb="FFFFFFFF"/>
              <rFont val="KaiTi"/>
              <family val="2"/>
            </rPr>
            <t xml:space="preserve">营业收入（百万元）</t>
          </r>
        </is>
      </c>
      <c r="E71" s="3" t="inlineStr">
        <is>
          <r>
            <rPr>
              <b/>
              <sz val="12"/>
              <color rgb="FFFFFFFF"/>
              <rFont val="KaiTi"/>
              <family val="2"/>
            </rPr>
            <t xml:space="preserve">净利润（百万元）</t>
          </r>
        </is>
      </c>
    </row>
    <row r="72" ht="20" customHeight="1">
      <c r="A72" s="12" t="inlineStr">
        <is>
          <t xml:space="preserve">CMES Tanker Holdings Inc.</t>
        </is>
      </c>
      <c r="B72" s="22">
        <v>26577.0</v>
      </c>
      <c r="C72" s="22">
        <v>13312.0</v>
      </c>
      <c r="D72" s="22">
        <v>10289.0</v>
      </c>
      <c r="E72" s="22">
        <v>4190.999999999999</v>
      </c>
    </row>
    <row r="73" ht="20" customHeight="1">
      <c r="A73" s="12" t="inlineStr">
        <is>
          <t xml:space="preserve">CMES Bulker Holdings Inc.</t>
        </is>
      </c>
      <c r="B73" s="22">
        <v>20500.0</v>
      </c>
      <c r="C73" s="22">
        <v>12999.0</v>
      </c>
      <c r="D73" s="22">
        <v>6894.0</v>
      </c>
      <c r="E73" s="22">
        <v>822.0000000000001</v>
      </c>
    </row>
    <row r="74" ht="20" customHeight="1">
      <c r="A74" s="12" t="inlineStr">
        <is>
          <t xml:space="preserve">CMES LNG Carrier Investment Inc.</t>
        </is>
      </c>
      <c r="B74" s="22">
        <v>10095.0</v>
      </c>
      <c r="C74" s="22">
        <v>3840.9999999999995</v>
      </c>
      <c r="D74" s="22">
        <v>120.0</v>
      </c>
      <c r="E74" s="22">
        <v>743.0</v>
      </c>
    </row>
    <row r="75" ht="20" customHeight="1">
      <c r="A75" s="12" t="inlineStr">
        <is>
          <r>
            <rPr>
              <sz val="12"/>
              <rFont val="KaiTi"/>
              <family val="2"/>
            </rPr>
            <t xml:space="preserve">中外运集装箱运输有限公司</t>
          </r>
        </is>
      </c>
      <c r="B75" s="22">
        <v>6563.0</v>
      </c>
      <c r="C75" s="22">
        <v>3719.0</v>
      </c>
      <c r="D75" s="22">
        <v>6149.0</v>
      </c>
      <c r="E75" s="22">
        <v>1359.0</v>
      </c>
    </row>
    <row r="76" ht="20" customHeight="1">
      <c r="A76" s="12" t="inlineStr">
        <is>
          <r>
            <rPr>
              <sz val="12"/>
              <rFont val="KaiTi"/>
              <family val="2"/>
            </rPr>
            <t xml:space="preserve">广州招商滚装运输有限公司</t>
          </r>
        </is>
      </c>
      <c r="B76" s="22">
        <v>3303.0</v>
      </c>
      <c r="C76" s="22">
        <v>1566.0</v>
      </c>
      <c r="D76" s="22">
        <v>1697.0</v>
      </c>
      <c r="E76" s="22">
        <v>212.0</v>
      </c>
    </row>
    <row r="77" ht="20" customHeight="1">
      <c r="A77" s="12" t="inlineStr">
        <is>
          <r>
            <rPr>
              <sz val="12"/>
              <rFont val="KaiTi"/>
              <family val="2"/>
            </rPr>
            <t xml:space="preserve">上海招商明华船务有限公司</t>
          </r>
        </is>
      </c>
      <c r="B77" s="22">
        <v>3579.9999999999995</v>
      </c>
      <c r="C77" s="22">
        <v>3161.0</v>
      </c>
      <c r="D77" s="22">
        <v>1986.0</v>
      </c>
      <c r="E77" s="22">
        <v>291.0</v>
      </c>
    </row>
    <row r="78" ht="20" customHeight="1">
      <c r="A78" s="12" t="inlineStr">
        <is>
          <r>
            <rPr>
              <sz val="12"/>
              <rFont val="KaiTi"/>
              <family val="2"/>
            </rPr>
            <t xml:space="preserve">中国液化天然气运输（控股）有限公司</t>
          </r>
        </is>
      </c>
      <c r="B78" s="22">
        <v>11948.0</v>
      </c>
      <c r="C78" s="22">
        <v>10057.0</v>
      </c>
      <c r="D78" s="22">
        <v>1204.0</v>
      </c>
      <c r="E78" s="22">
        <v>1237.0</v>
      </c>
    </row>
    <row r="79" ht="20" customHeight="1">
      <c r="A79" s="31" t="inlineStr">
        <is>
          <r>
            <rPr>
              <b/>
              <sz val="12"/>
              <rFont val="KaiTi"/>
              <family val="2"/>
            </rPr>
            <t xml:space="preserve">重大非股权投资项目（</t>
          </r>
          <r>
            <rPr>
              <b/>
              <sz val="12"/>
              <rFont val="Arial"/>
              <family val="2"/>
            </rPr>
            <t xml:space="preserve">p.34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79" s="31"/>
      <c r="C79" s="31"/>
      <c r="D79" s="31"/>
      <c r="E79" s="31"/>
      <c r="F79" s="31"/>
      <c r="G79" s="31"/>
    </row>
    <row r="80" ht="36" customHeight="1">
      <c r="A8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80" s="3" t="inlineStr">
        <is>
          <r>
            <rPr>
              <b/>
              <sz val="12"/>
              <color rgb="FFFFFFFF"/>
              <rFont val="KaiTi"/>
              <family val="2"/>
            </rPr>
            <t xml:space="preserve">累计投入（百万元）</t>
          </r>
        </is>
      </c>
      <c r="C80" s="3" t="inlineStr">
        <is>
          <r>
            <rPr>
              <b/>
              <sz val="12"/>
              <color rgb="FFFFFFFF"/>
              <rFont val="KaiTi"/>
              <family val="2"/>
            </rPr>
            <t xml:space="preserve">本年投入（百万元）</t>
          </r>
        </is>
      </c>
      <c r="D80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项目进度</t>
          </r>
        </is>
      </c>
    </row>
    <row r="81" ht="20" customHeight="1">
      <c r="A81" s="12" t="inlineStr">
        <is>
          <r>
            <rPr>
              <sz val="12"/>
              <rFont val="Arial"/>
              <family val="2"/>
            </rPr>
            <t xml:space="preserve">1</t>
          </r>
          <r>
            <rPr>
              <sz val="12"/>
              <rFont val="KaiTi"/>
              <family val="2"/>
            </rPr>
            <t xml:space="preserve">艘新一代节能环保</t>
          </r>
          <r>
            <rPr>
              <sz val="12"/>
              <rFont val="Arial"/>
              <family val="2"/>
            </rPr>
            <t xml:space="preserve">VLCC</t>
          </r>
          <r>
            <rPr>
              <sz val="12"/>
              <rFont val="KaiTi"/>
              <family val="2"/>
            </rPr>
            <t xml:space="preserve">油轮（</t>
          </r>
          <r>
            <rPr>
              <sz val="12"/>
              <rFont val="Arial"/>
              <family val="2"/>
            </rPr>
            <t xml:space="preserve">2023</t>
          </r>
          <r>
            <rPr>
              <sz val="12"/>
              <rFont val="KaiTi"/>
              <family val="2"/>
            </rPr>
            <t xml:space="preserve">年甲醇双燃料）</t>
          </r>
        </is>
      </c>
      <c r="B81" s="22">
        <v>784.54913098</v>
      </c>
      <c r="C81" s="22">
        <v>629.99853098</v>
      </c>
      <c r="D81" s="28">
        <v>1.0</v>
      </c>
    </row>
    <row r="82" ht="20" customHeight="1">
      <c r="A82" s="12" t="inlineStr">
        <is>
          <r>
            <rPr>
              <sz val="12"/>
              <rFont val="Arial"/>
              <family val="2"/>
            </rPr>
            <t xml:space="preserve">2</t>
          </r>
          <r>
            <rPr>
              <sz val="12"/>
              <rFont val="KaiTi"/>
              <family val="2"/>
            </rPr>
            <t xml:space="preserve">艘新一代节能环保</t>
          </r>
          <r>
            <rPr>
              <sz val="12"/>
              <rFont val="Arial"/>
              <family val="2"/>
            </rPr>
            <t xml:space="preserve">AFRAMAX</t>
          </r>
          <r>
            <rPr>
              <sz val="12"/>
              <rFont val="KaiTi"/>
              <family val="2"/>
            </rPr>
            <t xml:space="preserve">油轮（</t>
          </r>
          <r>
            <rPr>
              <sz val="12"/>
              <rFont val="Arial"/>
              <family val="2"/>
            </rPr>
            <t xml:space="preserve">2023</t>
          </r>
          <r>
            <rPr>
              <sz val="12"/>
              <rFont val="KaiTi"/>
              <family val="2"/>
            </rPr>
            <t xml:space="preserve">年）</t>
          </r>
        </is>
      </c>
      <c r="B82" s="22">
        <v>754.0281873600001</v>
      </c>
      <c r="C82" s="22">
        <v>626.47002936</v>
      </c>
      <c r="D82" s="28">
        <v>0.9</v>
      </c>
    </row>
    <row r="83" ht="20" customHeight="1">
      <c r="A83" s="12" t="inlineStr">
        <is>
          <r>
            <rPr>
              <sz val="12"/>
              <rFont val="Arial"/>
              <family val="2"/>
            </rPr>
            <t xml:space="preserve">5</t>
          </r>
          <r>
            <rPr>
              <sz val="12"/>
              <rFont val="KaiTi"/>
              <family val="2"/>
            </rPr>
            <t xml:space="preserve">艘新一代节能环保</t>
          </r>
          <r>
            <rPr>
              <sz val="12"/>
              <rFont val="Arial"/>
              <family val="2"/>
            </rPr>
            <t xml:space="preserve">VLCC</t>
          </r>
          <r>
            <rPr>
              <sz val="12"/>
              <rFont val="KaiTi"/>
              <family val="2"/>
            </rPr>
            <t xml:space="preserve">油轮（</t>
          </r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年）</t>
          </r>
        </is>
      </c>
      <c r="B83" s="22">
        <v>843.456</v>
      </c>
      <c r="C83" s="22">
        <v>412.152</v>
      </c>
      <c r="D83" s="28">
        <v>0.2</v>
      </c>
    </row>
    <row r="84" ht="20" customHeight="1">
      <c r="A84" s="12" t="inlineStr">
        <is>
          <r>
            <rPr>
              <sz val="12"/>
              <rFont val="Arial"/>
              <family val="2"/>
            </rPr>
            <t xml:space="preserve">5</t>
          </r>
          <r>
            <rPr>
              <sz val="12"/>
              <rFont val="KaiTi"/>
              <family val="2"/>
            </rPr>
            <t xml:space="preserve">艘新一代节能环保</t>
          </r>
          <r>
            <rPr>
              <sz val="12"/>
              <rFont val="Arial"/>
              <family val="2"/>
            </rPr>
            <t xml:space="preserve">AFRAMAX</t>
          </r>
          <r>
            <rPr>
              <sz val="12"/>
              <rFont val="KaiTi"/>
              <family val="2"/>
            </rPr>
            <t xml:space="preserve">油轮（</t>
          </r>
          <r>
            <rPr>
              <sz val="12"/>
              <rFont val="Arial"/>
              <family val="2"/>
            </rPr>
            <t xml:space="preserve">2024</t>
          </r>
          <r>
            <rPr>
              <sz val="12"/>
              <rFont val="KaiTi"/>
              <family val="2"/>
            </rPr>
            <t xml:space="preserve">年）</t>
          </r>
        </is>
      </c>
      <c r="B84" s="22">
        <v>504.66784</v>
      </c>
      <c r="C84" s="22">
        <v>268.16948</v>
      </c>
      <c r="D84" s="28">
        <v>0.2</v>
      </c>
    </row>
    <row r="85" ht="20" customHeight="1">
      <c r="A85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17.5</t>
          </r>
          <r>
            <rPr>
              <sz val="12"/>
              <rFont val="KaiTi"/>
              <family val="2"/>
            </rPr>
            <t xml:space="preserve">万</t>
          </r>
          <r>
            <rPr>
              <sz val="12"/>
              <rFont val="Arial"/>
              <family val="2"/>
            </rPr>
            <t xml:space="preserve">m³LNG</t>
          </r>
          <r>
            <rPr>
              <sz val="12"/>
              <rFont val="KaiTi"/>
              <family val="2"/>
            </rPr>
            <t xml:space="preserve">运输船（一期）</t>
          </r>
        </is>
      </c>
      <c r="B85" s="22">
        <v>5052.40167188</v>
      </c>
      <c r="C85" s="22">
        <v>1784.86920334</v>
      </c>
      <c r="D85" s="28">
        <v>0.9140999999999999</v>
      </c>
    </row>
    <row r="86" ht="20" customHeight="1">
      <c r="A86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17.5</t>
          </r>
          <r>
            <rPr>
              <sz val="12"/>
              <rFont val="KaiTi"/>
              <family val="2"/>
            </rPr>
            <t xml:space="preserve">万</t>
          </r>
          <r>
            <rPr>
              <sz val="12"/>
              <rFont val="Arial"/>
              <family val="2"/>
            </rPr>
            <t xml:space="preserve">m³LNG</t>
          </r>
          <r>
            <rPr>
              <sz val="12"/>
              <rFont val="KaiTi"/>
              <family val="2"/>
            </rPr>
            <t xml:space="preserve">运输船（二期）</t>
          </r>
        </is>
      </c>
      <c r="B86" s="22">
        <v>4388.26924549</v>
      </c>
      <c r="C86" s="22">
        <v>2377.71975124</v>
      </c>
      <c r="D86" s="28">
        <v>0.6114</v>
      </c>
    </row>
    <row r="87" ht="20" customHeight="1">
      <c r="A87" s="12" t="inlineStr">
        <is>
          <r>
            <rPr>
              <sz val="12"/>
              <rFont val="Arial"/>
              <family val="2"/>
            </rPr>
            <t xml:space="preserve">6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17.4</t>
          </r>
          <r>
            <rPr>
              <sz val="12"/>
              <rFont val="KaiTi"/>
              <family val="2"/>
            </rPr>
            <t xml:space="preserve">万</t>
          </r>
          <r>
            <rPr>
              <sz val="12"/>
              <rFont val="Arial"/>
              <family val="2"/>
            </rPr>
            <t xml:space="preserve">m³LNG</t>
          </r>
          <r>
            <rPr>
              <sz val="12"/>
              <rFont val="KaiTi"/>
              <family val="2"/>
            </rPr>
            <t xml:space="preserve">船</t>
          </r>
          <r>
            <rPr>
              <sz val="12"/>
              <rFont val="Arial"/>
              <family val="2"/>
            </rPr>
            <t xml:space="preserve">+4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27.1</t>
          </r>
          <r>
            <rPr>
              <sz val="12"/>
              <rFont val="KaiTi"/>
              <family val="2"/>
            </rPr>
            <t xml:space="preserve">万</t>
          </r>
          <r>
            <rPr>
              <sz val="12"/>
              <rFont val="Arial"/>
              <family val="2"/>
            </rPr>
            <t xml:space="preserve">m³</t>
          </r>
          <r>
            <rPr>
              <sz val="12"/>
              <rFont val="KaiTi"/>
              <family val="2"/>
            </rPr>
            <t xml:space="preserve">型</t>
          </r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船（卡能项目）</t>
          </r>
        </is>
      </c>
      <c r="B87" s="22">
        <v>3338.66479043</v>
      </c>
      <c r="C87" s="22">
        <v>1394.20259043</v>
      </c>
      <c r="D87" s="28">
        <v>0.18460000000000001</v>
      </c>
    </row>
    <row r="88" ht="20" customHeight="1">
      <c r="A88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6.2</t>
          </r>
          <r>
            <rPr>
              <sz val="12"/>
              <rFont val="KaiTi"/>
              <family val="2"/>
            </rPr>
            <t xml:space="preserve">万吨多用途船</t>
          </r>
        </is>
      </c>
      <c r="B88" s="22">
        <v>1070.49376987</v>
      </c>
      <c r="C88" s="22">
        <v>599.74425718</v>
      </c>
      <c r="D88" s="28">
        <v>0.8425</v>
      </c>
    </row>
    <row r="89" ht="20" customHeight="1">
      <c r="A89" s="12" t="inlineStr">
        <is>
          <r>
            <rPr>
              <sz val="12"/>
              <rFont val="Arial"/>
              <family val="2"/>
            </rPr>
            <t xml:space="preserve">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8.2</t>
          </r>
          <r>
            <rPr>
              <sz val="12"/>
              <rFont val="KaiTi"/>
              <family val="2"/>
            </rPr>
            <t xml:space="preserve">万吨散货船</t>
          </r>
        </is>
      </c>
      <c r="B89" s="22">
        <v>938.02830596</v>
      </c>
      <c r="C89" s="22">
        <v>609.71845024</v>
      </c>
      <c r="D89" s="28">
        <v>0.8843000000000001</v>
      </c>
    </row>
    <row r="90" ht="20" customHeight="1">
      <c r="A90" s="12" t="inlineStr">
        <is>
          <r>
            <rPr>
              <sz val="12"/>
              <rFont val="Arial"/>
              <family val="2"/>
            </rPr>
            <t xml:space="preserve">10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21</t>
          </r>
          <r>
            <rPr>
              <sz val="12"/>
              <rFont val="KaiTi"/>
              <family val="2"/>
            </rPr>
            <t xml:space="preserve">万吨散货船</t>
          </r>
        </is>
      </c>
      <c r="B90" s="22">
        <v>820.6322726000001</v>
      </c>
      <c r="C90" s="22">
        <v>157.92907680000002</v>
      </c>
      <c r="D90" s="28">
        <v>0.15</v>
      </c>
    </row>
    <row r="91" ht="20" customHeight="1">
      <c r="A91" s="12" t="inlineStr">
        <is>
          <r>
            <rPr>
              <sz val="12"/>
              <rFont val="Arial"/>
              <family val="2"/>
            </rPr>
            <t xml:space="preserve">2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9300</t>
          </r>
          <r>
            <rPr>
              <sz val="12"/>
              <rFont val="KaiTi"/>
              <family val="2"/>
            </rPr>
            <t xml:space="preserve">车位</t>
          </r>
          <r>
            <rPr>
              <sz val="12"/>
              <rFont val="Arial"/>
              <family val="2"/>
            </rPr>
            <t xml:space="preserve">+4</t>
          </r>
          <r>
            <rPr>
              <sz val="12"/>
              <rFont val="KaiTi"/>
              <family val="2"/>
            </rPr>
            <t xml:space="preserve">艘</t>
          </r>
          <r>
            <rPr>
              <sz val="12"/>
              <rFont val="Arial"/>
              <family val="2"/>
            </rPr>
            <t xml:space="preserve">7800</t>
          </r>
          <r>
            <rPr>
              <sz val="12"/>
              <rFont val="KaiTi"/>
              <family val="2"/>
            </rPr>
            <t xml:space="preserve">车位滚装船（甲醇双燃料）</t>
          </r>
        </is>
      </c>
      <c r="B91" s="22">
        <v>2044.69249148</v>
      </c>
      <c r="C91" s="22">
        <v>1177.46457738</v>
      </c>
      <c r="D91" s="28">
        <v>0.4817</v>
      </c>
    </row>
    <row r="92" ht="20" customHeight="1">
      <c r="A92" s="12" t="inlineStr">
        <is>
          <r>
            <rPr>
              <sz val="12"/>
              <rFont val="KaiTi"/>
              <family val="2"/>
            </rPr>
            <t xml:space="preserve">合计</t>
          </r>
        </is>
      </c>
      <c r="B92" s="22">
        <v>20539.88370605</v>
      </c>
      <c r="C92" s="22">
        <v>10038.43794695</v>
      </c>
      <c r="D92" s="12"/>
    </row>
    <row r="93" ht="20" customHeight="1">
      <c r="A93" s="31" t="inlineStr">
        <is>
          <r>
            <rPr>
              <b/>
              <sz val="12"/>
              <rFont val="Arial"/>
              <family val="2"/>
            </rPr>
            <t xml:space="preserve">2025 </t>
          </r>
          <r>
            <rPr>
              <b/>
              <sz val="12"/>
              <rFont val="KaiTi"/>
              <family val="2"/>
            </rPr>
            <t xml:space="preserve">年度现金分红（</t>
          </r>
          <r>
            <rPr>
              <b/>
              <sz val="12"/>
              <rFont val="Arial"/>
              <family val="2"/>
            </rPr>
            <t xml:space="preserve">p.61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93" s="31"/>
      <c r="C93" s="31"/>
      <c r="D93" s="31"/>
      <c r="E93" s="31"/>
      <c r="F93" s="31"/>
      <c r="G93" s="31"/>
    </row>
    <row r="94" ht="24" customHeight="1">
      <c r="A94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94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</row>
    <row r="95" ht="20" customHeight="1">
      <c r="A95" s="12" t="inlineStr">
        <is>
          <r>
            <rPr>
              <sz val="12"/>
              <rFont val="KaiTi"/>
              <family val="2"/>
            </rPr>
            <t xml:space="preserve">年度累计现金分红</t>
          </r>
        </is>
      </c>
      <c r="B95" s="22">
        <v>2583.85232064</v>
      </c>
    </row>
    <row r="96" ht="20" customHeight="1">
      <c r="A96" s="12" t="inlineStr">
        <is>
          <r>
            <rPr>
              <sz val="12"/>
              <rFont val="KaiTi"/>
              <family val="2"/>
            </rPr>
            <t xml:space="preserve">其中：中期已派发</t>
          </r>
        </is>
      </c>
      <c r="B96" s="22">
        <v>565.2176951399999</v>
      </c>
    </row>
    <row r="97" ht="20" customHeight="1">
      <c r="A97" s="12" t="inlineStr">
        <is>
          <r>
            <rPr>
              <sz val="12"/>
              <rFont val="KaiTi"/>
              <family val="2"/>
            </rPr>
            <t xml:space="preserve">报告期股份回购金额</t>
          </r>
        </is>
      </c>
      <c r="B97" s="22">
        <v>310.51239649</v>
      </c>
    </row>
    <row r="98" ht="20" customHeight="1">
      <c r="A98" s="31" t="inlineStr">
        <is>
          <r>
            <rPr>
              <b/>
              <sz val="12"/>
              <rFont val="KaiTi"/>
              <family val="2"/>
            </rPr>
            <t xml:space="preserve">分红与股东回报比例（年报口径）（</t>
          </r>
          <r>
            <rPr>
              <b/>
              <sz val="12"/>
              <rFont val="Arial"/>
              <family val="2"/>
            </rPr>
            <t xml:space="preserve">p.61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98" s="31"/>
      <c r="C98" s="31"/>
      <c r="D98" s="31"/>
      <c r="E98" s="31"/>
      <c r="F98" s="31"/>
      <c r="G98" s="31"/>
    </row>
    <row r="99" ht="24" customHeight="1">
      <c r="A9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99" s="3" t="inlineStr">
        <is>
          <r>
            <rPr>
              <b/>
              <sz val="12"/>
              <color rgb="FFFFFFFF"/>
              <rFont val="KaiTi"/>
              <family val="2"/>
            </rPr>
            <t xml:space="preserve">比例</t>
          </r>
        </is>
      </c>
    </row>
    <row r="100" ht="20" customHeight="1">
      <c r="A100" s="12" t="inlineStr">
        <is>
          <r>
            <rPr>
              <sz val="12"/>
              <rFont val="KaiTi"/>
              <family val="2"/>
            </rPr>
            <t xml:space="preserve">现金分红占归母净利润比例</t>
          </r>
        </is>
      </c>
      <c r="B100" s="28">
        <v>0.42979999999999996</v>
      </c>
    </row>
    <row r="101" ht="20" customHeight="1">
      <c r="A101" s="12" t="inlineStr">
        <is>
          <r>
            <rPr>
              <sz val="12"/>
              <rFont val="KaiTi"/>
              <family val="2"/>
            </rPr>
            <t xml:space="preserve">现金股东回报占归母净利润比例</t>
          </r>
        </is>
      </c>
      <c r="B101" s="28">
        <v>0.4814</v>
      </c>
    </row>
    <row r="102" ht="20" customHeight="1">
      <c r="A102" s="31" t="inlineStr">
        <is>
          <r>
            <rPr>
              <b/>
              <sz val="12"/>
              <rFont val="KaiTi"/>
              <family val="2"/>
            </rPr>
            <t xml:space="preserve">前五名客户与供应商（</t>
          </r>
          <r>
            <rPr>
              <b/>
              <sz val="12"/>
              <rFont val="Arial"/>
              <family val="2"/>
            </rPr>
            <t xml:space="preserve">p.24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02" s="31"/>
      <c r="C102" s="31"/>
      <c r="D102" s="31"/>
      <c r="E102" s="31"/>
      <c r="F102" s="31"/>
      <c r="G102" s="31"/>
    </row>
    <row r="103" ht="24" customHeight="1">
      <c r="A103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03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  <c r="C103" s="3" t="inlineStr">
        <is>
          <r>
            <rPr>
              <b/>
              <sz val="12"/>
              <color rgb="FFFFFFFF"/>
              <rFont val="KaiTi"/>
              <family val="2"/>
            </rPr>
            <t xml:space="preserve">占比</t>
          </r>
        </is>
      </c>
    </row>
    <row r="104" ht="20" customHeight="1">
      <c r="A104" s="12" t="inlineStr">
        <is>
          <r>
            <rPr>
              <sz val="12"/>
              <rFont val="KaiTi"/>
              <family val="2"/>
            </rPr>
            <t xml:space="preserve">前五名客户销售额</t>
          </r>
        </is>
      </c>
      <c r="B104" s="22">
        <v>8658.4567</v>
      </c>
      <c r="C104" s="28">
        <v>0.3073</v>
      </c>
    </row>
    <row r="105" ht="20" customHeight="1">
      <c r="A105" s="12" t="inlineStr">
        <is>
          <r>
            <rPr>
              <sz val="12"/>
              <rFont val="KaiTi"/>
              <family val="2"/>
            </rPr>
            <t xml:space="preserve">前五名客户关联方销售额</t>
          </r>
        </is>
      </c>
      <c r="B105" s="22">
        <v>4894.0066</v>
      </c>
      <c r="C105" s="28">
        <v>0.17370000000000002</v>
      </c>
    </row>
    <row r="106" ht="20" customHeight="1">
      <c r="A106" s="12" t="inlineStr">
        <is>
          <r>
            <rPr>
              <sz val="12"/>
              <rFont val="KaiTi"/>
              <family val="2"/>
            </rPr>
            <t xml:space="preserve">前五名供应商采购额</t>
          </r>
        </is>
      </c>
      <c r="B106" s="22">
        <v>12185.9727</v>
      </c>
      <c r="C106" s="28">
        <v>0.3546</v>
      </c>
    </row>
    <row r="107" ht="20" customHeight="1">
      <c r="A107" s="12" t="inlineStr">
        <is>
          <r>
            <rPr>
              <sz val="12"/>
              <rFont val="KaiTi"/>
              <family val="2"/>
            </rPr>
            <t xml:space="preserve">前五名供应商关联方采购额</t>
          </r>
        </is>
      </c>
      <c r="B107" s="22">
        <v>6145.914</v>
      </c>
      <c r="C107" s="28">
        <v>0.1788</v>
      </c>
    </row>
    <row r="108" ht="20" customHeight="1">
      <c r="A108" s="31" t="inlineStr">
        <is>
          <r>
            <rPr>
              <b/>
              <sz val="12"/>
              <rFont val="KaiTi"/>
              <family val="2"/>
            </rPr>
            <t xml:space="preserve">员工情况（</t>
          </r>
          <r>
            <rPr>
              <b/>
              <sz val="12"/>
              <rFont val="Arial"/>
              <family val="2"/>
            </rPr>
            <t xml:space="preserve">p.58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08" s="31"/>
      <c r="C108" s="31"/>
      <c r="D108" s="31"/>
      <c r="E108" s="31"/>
      <c r="F108" s="31"/>
      <c r="G108" s="31"/>
    </row>
    <row r="109" ht="24" customHeight="1">
      <c r="A109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09" s="3" t="inlineStr">
        <is>
          <r>
            <rPr>
              <b/>
              <sz val="12"/>
              <color rgb="FFFFFFFF"/>
              <rFont val="KaiTi"/>
              <family val="2"/>
            </rPr>
            <t xml:space="preserve">人数（人）</t>
          </r>
        </is>
      </c>
    </row>
    <row r="110" ht="20" customHeight="1">
      <c r="A110" s="12" t="inlineStr">
        <is>
          <r>
            <rPr>
              <sz val="12"/>
              <rFont val="KaiTi"/>
              <family val="2"/>
            </rPr>
            <t xml:space="preserve">在职员工合计</t>
          </r>
        </is>
      </c>
      <c r="B110" s="44">
        <v>5513.0</v>
      </c>
    </row>
    <row r="111" ht="20" customHeight="1">
      <c r="A111" s="12" t="inlineStr">
        <is>
          <r>
            <rPr>
              <sz val="12"/>
              <rFont val="KaiTi"/>
              <family val="2"/>
            </rPr>
            <t xml:space="preserve">生产人员</t>
          </r>
        </is>
      </c>
      <c r="B111" s="44">
        <v>4122.0</v>
      </c>
    </row>
    <row r="112" ht="20" customHeight="1">
      <c r="A112" s="12" t="inlineStr">
        <is>
          <r>
            <rPr>
              <sz val="12"/>
              <rFont val="KaiTi"/>
              <family val="2"/>
            </rPr>
            <t xml:space="preserve">销售人员</t>
          </r>
        </is>
      </c>
      <c r="B112" s="44">
        <v>358.0</v>
      </c>
    </row>
    <row r="113" ht="20" customHeight="1">
      <c r="A113" s="12" t="inlineStr">
        <is>
          <r>
            <rPr>
              <sz val="12"/>
              <rFont val="KaiTi"/>
              <family val="2"/>
            </rPr>
            <t xml:space="preserve">技术人员</t>
          </r>
        </is>
      </c>
      <c r="B113" s="44">
        <v>484.0</v>
      </c>
    </row>
    <row r="114" ht="20" customHeight="1">
      <c r="A114" s="12" t="inlineStr">
        <is>
          <r>
            <rPr>
              <sz val="12"/>
              <rFont val="KaiTi"/>
              <family val="2"/>
            </rPr>
            <t xml:space="preserve">财务人员</t>
          </r>
        </is>
      </c>
      <c r="B114" s="44">
        <v>193.0</v>
      </c>
    </row>
    <row r="115" ht="20" customHeight="1">
      <c r="A115" s="12" t="inlineStr">
        <is>
          <r>
            <rPr>
              <sz val="12"/>
              <rFont val="KaiTi"/>
              <family val="2"/>
            </rPr>
            <t xml:space="preserve">行政人员</t>
          </r>
        </is>
      </c>
      <c r="B115" s="44">
        <v>356.0</v>
      </c>
    </row>
    <row r="116" ht="20" customHeight="1">
      <c r="A116" s="31" t="inlineStr">
        <is>
          <r>
            <rPr>
              <b/>
              <sz val="12"/>
              <rFont val="KaiTi"/>
              <family val="2"/>
            </rPr>
            <t xml:space="preserve">研发投入（</t>
          </r>
          <r>
            <rPr>
              <b/>
              <sz val="12"/>
              <rFont val="Arial"/>
              <family val="2"/>
            </rPr>
            <t xml:space="preserve">p.25</t>
          </r>
          <r>
            <rPr>
              <b/>
              <sz val="12"/>
              <rFont val="KaiTi"/>
              <family val="2"/>
            </rPr>
            <t xml:space="preserve">）</t>
          </r>
        </is>
      </c>
      <c r="B116" s="31"/>
      <c r="C116" s="31"/>
      <c r="D116" s="31"/>
      <c r="E116" s="31"/>
      <c r="F116" s="31"/>
      <c r="G116" s="31"/>
    </row>
    <row r="117" ht="24" customHeight="1">
      <c r="A117" s="3" t="inlineStr">
        <is>
          <r>
            <rPr>
              <b/>
              <sz val="12"/>
              <color rgb="FFFFFFFF"/>
              <rFont val="KaiTi"/>
              <family val="2"/>
            </rPr>
            <t xml:space="preserve">项目</t>
          </r>
        </is>
      </c>
      <c r="B117" s="3" t="inlineStr">
        <is>
          <r>
            <rPr>
              <b/>
              <sz val="12"/>
              <color rgb="FFFFFFFF"/>
              <rFont val="KaiTi"/>
              <family val="2"/>
            </rPr>
            <t xml:space="preserve">金额（百万元）</t>
          </r>
        </is>
      </c>
      <c r="C117" s="3" t="inlineStr">
        <is>
          <r>
            <rPr>
              <b/>
              <sz val="12"/>
              <color rgb="FFFFFFFF"/>
              <rFont val="KaiTi"/>
              <family val="2"/>
            </rPr>
            <t xml:space="preserve">占营业收入比例</t>
          </r>
        </is>
      </c>
    </row>
    <row r="118" ht="20" customHeight="1">
      <c r="A118" s="12" t="inlineStr">
        <is>
          <r>
            <rPr>
              <sz val="12"/>
              <rFont val="KaiTi"/>
              <family val="2"/>
            </rPr>
            <t xml:space="preserve">本期费用化研发投入</t>
          </r>
        </is>
      </c>
      <c r="B118" s="22">
        <v>27.58062237</v>
      </c>
      <c r="C118" s="12"/>
    </row>
    <row r="119" ht="20" customHeight="1">
      <c r="A119" s="12" t="inlineStr">
        <is>
          <r>
            <rPr>
              <sz val="12"/>
              <rFont val="KaiTi"/>
              <family val="2"/>
            </rPr>
            <t xml:space="preserve">本期资本化研发投入</t>
          </r>
        </is>
      </c>
      <c r="B119" s="22">
        <v>54.08085595</v>
      </c>
      <c r="C119" s="12"/>
    </row>
    <row r="120" ht="20" customHeight="1">
      <c r="A120" s="12" t="inlineStr">
        <is>
          <r>
            <rPr>
              <sz val="12"/>
              <rFont val="KaiTi"/>
              <family val="2"/>
            </rPr>
            <t xml:space="preserve">研发投入合计</t>
          </r>
        </is>
      </c>
      <c r="B120" s="22">
        <v>81.66147831999999</v>
      </c>
      <c r="C120" s="28">
        <v>0.0029</v>
      </c>
    </row>
    <row r="121" ht="20" customHeight="1">
      <c r="A121" s="31" t="inlineStr">
        <is>
          <r>
            <rPr>
              <b/>
              <sz val="12"/>
              <rFont val="KaiTi"/>
              <family val="2"/>
            </rPr>
            <t xml:space="preserve">程序计算的比率（公式引用上表）</t>
          </r>
        </is>
      </c>
      <c r="B121" s="31"/>
      <c r="C121" s="31"/>
      <c r="D121" s="31"/>
      <c r="E121" s="31"/>
      <c r="F121" s="31"/>
      <c r="G121" s="31"/>
    </row>
    <row r="122" ht="24" customHeight="1">
      <c r="A122" s="3" t="inlineStr">
        <is>
          <r>
            <rPr>
              <b/>
              <sz val="12"/>
              <color rgb="FFFFFFFF"/>
              <rFont val="KaiTi"/>
              <family val="2"/>
            </rPr>
            <t xml:space="preserve">比率</t>
          </r>
        </is>
      </c>
      <c r="B122" s="3" t="inlineStr">
        <is>
          <r>
            <rPr>
              <b/>
              <sz val="12"/>
              <color rgb="FFFFFFFF"/>
              <rFont val="KaiTi"/>
              <family val="2"/>
            </rPr>
            <t xml:space="preserve">数值</t>
          </r>
        </is>
      </c>
      <c r="C122" s="3" t="inlineStr">
        <is>
          <r>
            <rPr>
              <b/>
              <sz val="12"/>
              <color rgb="FFFFFFFF"/>
              <rFont val="KaiTi"/>
              <family val="2"/>
            </rPr>
            <t xml:space="preserve">单位</t>
          </r>
        </is>
      </c>
    </row>
    <row r="123" ht="20" customHeight="1">
      <c r="A123" s="12" t="inlineStr">
        <is>
          <r>
            <rPr>
              <sz val="12"/>
              <rFont val="KaiTi"/>
              <family val="2"/>
            </rPr>
            <t xml:space="preserve">油轮收入占比</t>
          </r>
        </is>
      </c>
      <c r="B123" s="28">
        <v>0.36515324216502587</v>
      </c>
      <c r="C123" s="12" t="inlineStr">
        <is>
          <t xml:space="preserve">%</t>
        </is>
      </c>
    </row>
    <row r="124" ht="20" customHeight="1">
      <c r="A124" s="12" t="inlineStr">
        <is>
          <r>
            <rPr>
              <sz val="12"/>
              <rFont val="KaiTi"/>
              <family val="2"/>
            </rPr>
            <t xml:space="preserve">干散货收入占比</t>
          </r>
        </is>
      </c>
      <c r="B124" s="28">
        <v>0.3112089396972603</v>
      </c>
      <c r="C124" s="12" t="inlineStr">
        <is>
          <t xml:space="preserve">%</t>
        </is>
      </c>
    </row>
    <row r="125" ht="20" customHeight="1">
      <c r="A125" s="12" t="inlineStr">
        <is>
          <r>
            <rPr>
              <sz val="12"/>
              <rFont val="KaiTi"/>
              <family val="2"/>
            </rPr>
            <t xml:space="preserve">集装箱收入占比</t>
          </r>
        </is>
      </c>
      <c r="B125" s="28">
        <v>0.21822599728571712</v>
      </c>
      <c r="C125" s="12" t="inlineStr">
        <is>
          <t xml:space="preserve">%</t>
        </is>
      </c>
    </row>
    <row r="126" ht="20" customHeight="1">
      <c r="A126" s="12" t="inlineStr">
        <is>
          <r>
            <rPr>
              <sz val="12"/>
              <rFont val="KaiTi"/>
              <family val="2"/>
            </rPr>
            <t xml:space="preserve">滚装收入占比</t>
          </r>
        </is>
      </c>
      <c r="B126" s="28">
        <v>0.05997754682271295</v>
      </c>
      <c r="C126" s="12" t="inlineStr">
        <is>
          <t xml:space="preserve">%</t>
        </is>
      </c>
    </row>
    <row r="127" ht="20" customHeight="1">
      <c r="A127" s="12" t="inlineStr">
        <is>
          <r>
            <rPr>
              <sz val="12"/>
              <rFont val="Arial"/>
              <family val="2"/>
            </rPr>
            <t xml:space="preserve">LNG</t>
          </r>
          <r>
            <rPr>
              <sz val="12"/>
              <rFont val="KaiTi"/>
              <family val="2"/>
            </rPr>
            <t xml:space="preserve">收入占比</t>
          </r>
        </is>
      </c>
      <c r="B127" s="28">
        <v>0.0019519319971888834</v>
      </c>
      <c r="C127" s="12" t="inlineStr">
        <is>
          <t xml:space="preserve">%</t>
        </is>
      </c>
    </row>
    <row r="128" ht="20" customHeight="1">
      <c r="A128" s="12" t="inlineStr">
        <is>
          <r>
            <rPr>
              <sz val="12"/>
              <rFont val="KaiTi"/>
              <family val="2"/>
            </rPr>
            <t xml:space="preserve">油轮板块净利润占公司净利润比重</t>
          </r>
        </is>
      </c>
      <c r="B128" s="28">
        <v>0.6903637107991762</v>
      </c>
      <c r="C128" s="12" t="inlineStr">
        <is>
          <t xml:space="preserve">%</t>
        </is>
      </c>
    </row>
    <row r="129" ht="20" customHeight="1">
      <c r="A129" s="12" t="inlineStr">
        <is>
          <r>
            <rPr>
              <sz val="12"/>
              <rFont val="KaiTi"/>
              <family val="2"/>
            </rPr>
            <t xml:space="preserve">现金分红率</t>
          </r>
        </is>
      </c>
      <c r="B129" s="28">
        <v>0.429775606622554</v>
      </c>
      <c r="C129" s="12" t="inlineStr">
        <is>
          <t xml:space="preserve">%</t>
        </is>
      </c>
    </row>
    <row r="130" ht="20" customHeight="1">
      <c r="A130" s="12" t="inlineStr">
        <is>
          <r>
            <rPr>
              <sz val="12"/>
              <rFont val="KaiTi"/>
              <family val="2"/>
            </rPr>
            <t xml:space="preserve">营业收入同比增速</t>
          </r>
        </is>
      </c>
      <c r="B130" s="28">
        <v>0.0921704711330975</v>
      </c>
      <c r="C130" s="12" t="inlineStr">
        <is>
          <t xml:space="preserve">%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14.xml><?xml version="1.0" encoding="utf-8"?>
<worksheet xmlns="http://schemas.openxmlformats.org/spreadsheetml/2006/main">
  <sheetPr>
    <pageSetUpPr fitToPage="1"/>
  </sheetPr>
  <sheetViews>
    <sheetView showGridLines="0" zoomScale="90" workbookViewId="0">
      <pane xSplit="1" ySplit="4" topLeftCell="B5" activePane="bottomRight" state="frozen"/>
      <selection pane="bottomRight" activeCell="B5" sqref="B5"/>
    </sheetView>
  </sheetViews>
  <sheetFormatPr defaultRowHeight="16"/>
  <cols>
    <col min="1" max="1" width="12.0" customWidth="1"/>
    <col min="2" max="2" width="100.0" customWidth="1"/>
  </cols>
  <sheetData>
    <row r="1" ht="24" customHeight="1">
      <c r="A1" s="1" t="inlineStr">
        <is>
          <r>
            <rPr>
              <b/>
              <sz val="14"/>
              <color rgb="FF1F3864"/>
              <rFont val="KaiTi"/>
              <family val="2"/>
            </rPr>
            <t xml:space="preserve">模型检查</t>
          </r>
        </is>
      </c>
    </row>
    <row r="2" ht="16" customHeight="1">
      <c r="A2" s="2" t="inlineStr">
        <is>
          <r>
            <rPr>
              <i/>
              <sz val="9"/>
              <color rgb="FF595959"/>
              <rFont val="KaiTi"/>
              <family val="2"/>
            </rPr>
            <t xml:space="preserve">硬性失败会使模型状态变为 </t>
          </r>
          <r>
            <rPr>
              <i/>
              <sz val="9"/>
              <color rgb="FF595959"/>
              <rFont val="Arial"/>
              <family val="2"/>
            </rPr>
            <t xml:space="preserve">blocked</t>
          </r>
          <r>
            <rPr>
              <i/>
              <sz val="9"/>
              <color rgb="FF595959"/>
              <rFont val="KaiTi"/>
              <family val="2"/>
            </rPr>
            <t xml:space="preserve">；警示需在报告中说明</t>
          </r>
        </is>
      </c>
    </row>
    <row r="3" ht="20" customHeight="1"/>
    <row r="4" ht="24" customHeight="1">
      <c r="A4" s="3" t="inlineStr">
        <is>
          <r>
            <rPr>
              <b/>
              <sz val="12"/>
              <color rgb="FFFFFFFF"/>
              <rFont val="KaiTi"/>
              <family val="2"/>
            </rPr>
            <t xml:space="preserve">类型</t>
          </r>
        </is>
      </c>
      <c r="B4" s="4" t="inlineStr">
        <is>
          <r>
            <rPr>
              <b/>
              <sz val="12"/>
              <color rgb="FFFFFFFF"/>
              <rFont val="KaiTi"/>
              <family val="2"/>
            </rPr>
            <t xml:space="preserve">内容</t>
          </r>
        </is>
      </c>
    </row>
    <row r="5">
      <c r="A5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5" s="18" t="inlineStr">
        <is>
          <r>
            <rPr>
              <sz val="12"/>
              <rFont val="KaiTi"/>
              <family val="2"/>
            </rPr>
            <t xml:space="preserve">终值占企业价值 </t>
          </r>
          <r>
            <rPr>
              <sz val="12"/>
              <rFont val="Arial"/>
              <family val="2"/>
            </rPr>
            <t xml:space="preserve">76.3%</t>
          </r>
          <r>
            <rPr>
              <sz val="12"/>
              <rFont val="KaiTi"/>
              <family val="2"/>
            </rPr>
            <t xml:space="preserve">，结论高度依赖终值假设，需重点复核 </t>
          </r>
          <r>
            <rPr>
              <sz val="12"/>
              <rFont val="Arial"/>
              <family val="2"/>
            </rPr>
            <t xml:space="preserve">WACC </t>
          </r>
          <r>
            <rPr>
              <sz val="12"/>
              <rFont val="KaiTi"/>
              <family val="2"/>
            </rPr>
            <t xml:space="preserve">与永续增长率</t>
          </r>
        </is>
      </c>
    </row>
    <row r="6">
      <c r="A6" s="12" t="inlineStr">
        <is>
          <r>
            <rPr>
              <sz val="12"/>
              <rFont val="KaiTi"/>
              <family val="2"/>
            </rPr>
            <t xml:space="preserve">警示</t>
          </r>
        </is>
      </c>
      <c r="B6" s="18" t="inlineStr">
        <is>
          <r>
            <rPr>
              <sz val="12"/>
              <rFont val="KaiTi"/>
              <family val="2"/>
            </rPr>
            <t xml:space="preserve">以下关键输入依赖分析师假设：</t>
          </r>
          <r>
            <rPr>
              <sz val="12"/>
              <rFont val="Arial"/>
              <family val="2"/>
            </rPr>
            <t xml:space="preserve">forecast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terminal_value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wacc</t>
          </r>
        </is>
      </c>
    </row>
    <row r="7">
      <c r="A7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7" s="18" t="inlineStr">
        <is>
          <r>
            <rPr>
              <sz val="12"/>
              <rFont val="KaiTi"/>
              <family val="2"/>
            </rPr>
            <t xml:space="preserve">基准 </t>
          </r>
          <r>
            <rPr>
              <sz val="12"/>
              <rFont val="Arial"/>
              <family val="2"/>
            </rPr>
            <t xml:space="preserve">WACC 8.36%</t>
          </r>
          <r>
            <rPr>
              <sz val="12"/>
              <rFont val="KaiTi"/>
              <family val="2"/>
            </rPr>
            <t xml:space="preserve">，永续增长率 </t>
          </r>
          <r>
            <rPr>
              <sz val="12"/>
              <rFont val="Arial"/>
              <family val="2"/>
            </rPr>
            <t xml:space="preserve">1.50%</t>
          </r>
        </is>
      </c>
    </row>
    <row r="8">
      <c r="A8" s="12" t="inlineStr">
        <is>
          <r>
            <rPr>
              <sz val="12"/>
              <rFont val="KaiTi"/>
              <family val="2"/>
            </rPr>
            <t xml:space="preserve">提示</t>
          </r>
        </is>
      </c>
      <c r="B8" s="18" t="inlineStr">
        <is>
          <r>
            <rPr>
              <sz val="12"/>
              <rFont val="Arial"/>
              <family val="2"/>
            </rPr>
            <t xml:space="preserve">DCF </t>
          </r>
          <r>
            <rPr>
              <sz val="12"/>
              <rFont val="KaiTi"/>
              <family val="2"/>
            </rPr>
            <t xml:space="preserve">预测与三表模型逐期核对（</t>
          </r>
          <r>
            <rPr>
              <sz val="12"/>
              <rFont val="Arial"/>
              <family val="2"/>
            </rPr>
            <t xml:space="preserve">revenue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ebit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da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capex</t>
          </r>
          <r>
            <rPr>
              <sz val="12"/>
              <rFont val="KaiTi"/>
              <family val="2"/>
            </rPr>
            <t xml:space="preserve">、</t>
          </r>
          <r>
            <rPr>
              <sz val="12"/>
              <rFont val="Arial"/>
              <family val="2"/>
            </rPr>
            <t xml:space="preserve">nwc</t>
          </r>
          <r>
            <rPr>
              <sz val="12"/>
              <rFont val="KaiTi"/>
              <family val="2"/>
            </rPr>
            <t xml:space="preserve">），最大偏差 </t>
          </r>
          <r>
            <rPr>
              <sz val="12"/>
              <rFont val="Arial"/>
              <family val="2"/>
            </rPr>
            <t xml:space="preserve">1.82e-12 </t>
          </r>
          <r>
            <rPr>
              <sz val="12"/>
              <rFont val="KaiTi"/>
              <family val="2"/>
            </rPr>
            <t xml:space="preserve">百万元</t>
          </r>
        </is>
      </c>
    </row>
  </sheetData>
  <pageMargins left="0.5" right="0.5" top="0.6" bottom="0.6" header="0.3" footer="0.3"/>
  <pageSetup paperSize="9" orientation="landscape" fitToWidth="1" fitToHeight="0"/>
</worksheet>
</file>