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估值汇总" sheetId="1" r:id="rId1"/>
    <sheet name="盈利预测" sheetId="2" r:id="rId2"/>
    <sheet name="DCF" sheetId="3" r:id="rId3"/>
    <sheet name="WACC" sheetId="4" r:id="rId4"/>
    <sheet name="敏感性" sheetId="5" r:id="rId5"/>
    <sheet name="非经营性资产" sheetId="6" r:id="rId6"/>
    <sheet name="分部预测" sheetId="7" r:id="rId7"/>
    <sheet name="三表-假设" sheetId="8" r:id="rId8"/>
    <sheet name="三表-利润表" sheetId="9" r:id="rId9"/>
    <sheet name="三表-资产负债表" sheetId="10" r:id="rId10"/>
    <sheet name="三表-现金流量表" sheetId="11" r:id="rId11"/>
    <sheet name="历史财务" sheetId="12" r:id="rId12"/>
    <sheet name="分季度" sheetId="13" r:id="rId13"/>
    <sheet name="经营数据" sheetId="14" r:id="rId14"/>
    <sheet name="模型检查" sheetId="15" r:id="rId15"/>
  </sheets>
  <calcPr fullCalcOnLoad="1"/>
</workbook>
</file>

<file path=xl/styles.xml><?xml version="1.0" encoding="utf-8"?>
<styleSheet xmlns="http://schemas.openxmlformats.org/spreadsheetml/2006/main">
  <numFmts count="11">
    <numFmt numFmtId="164" formatCode="0.00%_);(0.00%);&quot;-&quot;_)"/>
    <numFmt numFmtId="165" formatCode="0.0%_);(0.0%);&quot;-&quot;_)"/>
    <numFmt numFmtId="166" formatCode="#,##0.0_);(#,##0.0);&quot;-&quot;_)"/>
    <numFmt numFmtId="167" formatCode="#,##0.00_);(#,##0.00);&quot;-&quot;_)"/>
    <numFmt numFmtId="168" formatCode="0.0&quot;x&quot;_);(0.0&quot;x&quot;);&quot;-&quot;_)"/>
    <numFmt numFmtId="169" formatCode="0.0000"/>
    <numFmt numFmtId="170" formatCode="+0.0%;-0.0%;0.0%"/>
    <numFmt numFmtId="171" formatCode="#,##0_);(#,##0);&quot;-&quot;_)"/>
    <numFmt numFmtId="172" formatCode="+0.00&quot; pp&quot;;-0.00&quot; pp&quot;;&quot;-&quot;"/>
    <numFmt numFmtId="173" formatCode="#,##0_);(#,##0);&quot;0&quot;_)"/>
    <numFmt numFmtId="174" formatCode="+0.0&quot; pp&quot;;-0.0&quot; pp&quot;;&quot;-&quot;"/>
  </numFmts>
  <fonts count="10">
    <font>
      <sz val="12"/>
      <name val="Arial"/>
      <family val="2"/>
    </font>
    <font>
      <b/>
      <sz val="14"/>
      <color rgb="FF1F3864"/>
      <name val="Arial"/>
      <family val="2"/>
    </font>
    <font>
      <i/>
      <sz val="9"/>
      <color rgb="FF595959"/>
      <name val="Arial"/>
      <family val="2"/>
    </font>
    <font>
      <b/>
      <sz val="12"/>
      <color rgb="FFFFFFFF"/>
      <name val="Arial"/>
      <family val="2"/>
    </font>
    <font>
      <b/>
      <sz val="12"/>
      <name val="Arial"/>
      <family val="2"/>
    </font>
    <font>
      <b/>
      <sz val="12"/>
      <color rgb="FF0000FF"/>
      <name val="Arial"/>
      <family val="2"/>
    </font>
    <font>
      <b/>
      <sz val="12"/>
      <color rgb="FF008000"/>
      <name val="Arial"/>
      <family val="2"/>
    </font>
    <font>
      <sz val="12"/>
      <color rgb="FF0000FF"/>
      <name val="Arial"/>
      <family val="2"/>
    </font>
    <font>
      <sz val="12"/>
      <color rgb="FF008000"/>
      <name val="Arial"/>
      <family val="2"/>
    </font>
    <font>
      <sz val="12"/>
      <name val="KaiT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CE6F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1F3864"/>
      </bottom>
      <diagonal/>
    </border>
    <border>
      <left/>
      <right/>
      <top style="thin">
        <color rgb="FF000000"/>
      </top>
      <bottom style="thin">
        <color rgb="FFBFBFBF"/>
      </bottom>
      <diagonal/>
    </border>
    <border>
      <left/>
      <right/>
      <top/>
      <bottom style="hair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horizontal="left" vertical="center"/>
    </xf>
    <xf numFmtId="164" fontId="0" fillId="3" borderId="4" xfId="0" applyNumberFormat="1" applyFont="1" applyFill="1" applyBorder="1" applyAlignment="1">
      <alignment horizontal="right" vertical="center"/>
    </xf>
    <xf numFmtId="165" fontId="0" fillId="3" borderId="4" xfId="0" applyNumberFormat="1" applyFont="1" applyFill="1" applyBorder="1" applyAlignment="1">
      <alignment horizontal="right" vertical="center"/>
    </xf>
    <xf numFmtId="166" fontId="0" fillId="3" borderId="4" xfId="0" applyNumberFormat="1" applyFont="1" applyFill="1" applyBorder="1" applyAlignment="1">
      <alignment horizontal="right" vertical="center"/>
    </xf>
    <xf numFmtId="167" fontId="0" fillId="3" borderId="4" xfId="0" applyNumberFormat="1" applyFont="1" applyFill="1" applyBorder="1" applyAlignment="1">
      <alignment horizontal="right" vertical="center"/>
    </xf>
    <xf numFmtId="168" fontId="0" fillId="3" borderId="4" xfId="0" applyNumberFormat="1" applyFont="1" applyFill="1" applyBorder="1" applyAlignment="1">
      <alignment horizontal="right" vertical="center"/>
    </xf>
    <xf numFmtId="0" fontId="0" fillId="3" borderId="4" xfId="0" applyFont="1" applyFill="1" applyBorder="1" applyAlignment="1">
      <alignment horizontal="left" vertical="center" wrapText="1"/>
    </xf>
    <xf numFmtId="0" fontId="0" fillId="0" borderId="3" xfId="0" applyFont="1" applyFill="1" applyBorder="1" applyAlignment="1">
      <alignment horizontal="left" vertical="center"/>
    </xf>
    <xf numFmtId="164" fontId="0" fillId="0" borderId="3" xfId="0" applyNumberFormat="1" applyFont="1" applyFill="1" applyBorder="1" applyAlignment="1">
      <alignment horizontal="right" vertical="center"/>
    </xf>
    <xf numFmtId="165" fontId="0" fillId="0" borderId="3" xfId="0" applyNumberFormat="1" applyFont="1" applyFill="1" applyBorder="1" applyAlignment="1">
      <alignment horizontal="right" vertical="center"/>
    </xf>
    <xf numFmtId="166" fontId="0" fillId="0" borderId="3" xfId="0" applyNumberFormat="1" applyFont="1" applyFill="1" applyBorder="1" applyAlignment="1">
      <alignment horizontal="right" vertical="center"/>
    </xf>
    <xf numFmtId="167" fontId="0" fillId="0" borderId="3" xfId="0" applyNumberFormat="1" applyFont="1" applyFill="1" applyBorder="1" applyAlignment="1">
      <alignment horizontal="right" vertical="center"/>
    </xf>
    <xf numFmtId="168" fontId="0" fillId="0" borderId="3" xfId="0" applyNumberFormat="1" applyFont="1" applyFill="1" applyBorder="1" applyAlignment="1">
      <alignment horizontal="right" vertical="center"/>
    </xf>
    <xf numFmtId="0" fontId="0" fillId="0" borderId="3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/>
    </xf>
    <xf numFmtId="166" fontId="5" fillId="0" borderId="2" xfId="0" applyNumberFormat="1" applyFont="1" applyFill="1" applyBorder="1" applyAlignment="1">
      <alignment horizontal="right" vertical="center"/>
    </xf>
    <xf numFmtId="166" fontId="6" fillId="0" borderId="2" xfId="0" applyNumberFormat="1" applyFont="1" applyFill="1" applyBorder="1" applyAlignment="1">
      <alignment horizontal="right" vertical="center"/>
    </xf>
    <xf numFmtId="166" fontId="7" fillId="0" borderId="3" xfId="0" applyNumberFormat="1" applyFont="1" applyFill="1" applyBorder="1" applyAlignment="1">
      <alignment horizontal="right" vertical="center"/>
    </xf>
    <xf numFmtId="166" fontId="8" fillId="0" borderId="3" xfId="0" applyNumberFormat="1" applyFont="1" applyFill="1" applyBorder="1" applyAlignment="1">
      <alignment horizontal="right" vertical="center"/>
    </xf>
    <xf numFmtId="166" fontId="4" fillId="0" borderId="2" xfId="0" applyNumberFormat="1" applyFont="1" applyFill="1" applyBorder="1" applyAlignment="1">
      <alignment horizontal="right" vertical="center"/>
    </xf>
    <xf numFmtId="167" fontId="7" fillId="0" borderId="3" xfId="0" applyNumberFormat="1" applyFont="1" applyFill="1" applyBorder="1" applyAlignment="1">
      <alignment horizontal="right" vertical="center"/>
    </xf>
    <xf numFmtId="169" fontId="0" fillId="0" borderId="3" xfId="0" applyNumberFormat="1" applyFont="1" applyFill="1" applyBorder="1" applyAlignment="1">
      <alignment horizontal="right" vertical="center"/>
    </xf>
    <xf numFmtId="164" fontId="8" fillId="0" borderId="3" xfId="0" applyNumberFormat="1" applyFont="1" applyFill="1" applyBorder="1" applyAlignment="1">
      <alignment horizontal="right" vertical="center"/>
    </xf>
    <xf numFmtId="164" fontId="7" fillId="0" borderId="3" xfId="0" applyNumberFormat="1" applyFont="1" applyFill="1" applyBorder="1" applyAlignment="1">
      <alignment horizontal="right" vertical="center"/>
    </xf>
    <xf numFmtId="164" fontId="4" fillId="0" borderId="2" xfId="0" applyNumberFormat="1" applyFont="1" applyFill="1" applyBorder="1" applyAlignment="1">
      <alignment horizontal="right" vertical="center"/>
    </xf>
    <xf numFmtId="165" fontId="7" fillId="0" borderId="3" xfId="0" applyNumberFormat="1" applyFont="1" applyFill="1" applyBorder="1" applyAlignment="1">
      <alignment horizontal="right" vertical="center"/>
    </xf>
    <xf numFmtId="0" fontId="4" fillId="4" borderId="5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164" fontId="4" fillId="4" borderId="3" xfId="0" applyNumberFormat="1" applyFont="1" applyFill="1" applyBorder="1" applyAlignment="1">
      <alignment horizontal="right" vertical="center"/>
    </xf>
    <xf numFmtId="168" fontId="3" fillId="2" borderId="1" xfId="0" applyNumberFormat="1" applyFont="1" applyFill="1" applyBorder="1" applyAlignment="1">
      <alignment horizontal="center" vertical="center" wrapText="1"/>
    </xf>
    <xf numFmtId="170" fontId="3" fillId="2" borderId="1" xfId="0" applyNumberFormat="1" applyFont="1" applyFill="1" applyBorder="1" applyAlignment="1">
      <alignment horizontal="center" vertical="center" wrapText="1"/>
    </xf>
    <xf numFmtId="170" fontId="4" fillId="4" borderId="3" xfId="0" applyNumberFormat="1" applyFont="1" applyFill="1" applyBorder="1" applyAlignment="1">
      <alignment horizontal="right" vertical="center"/>
    </xf>
    <xf numFmtId="171" fontId="7" fillId="0" borderId="3" xfId="0" applyNumberFormat="1" applyFont="1" applyFill="1" applyBorder="1" applyAlignment="1">
      <alignment horizontal="right" vertical="center"/>
    </xf>
    <xf numFmtId="171" fontId="0" fillId="0" borderId="3" xfId="0" applyNumberFormat="1" applyFont="1" applyFill="1" applyBorder="1" applyAlignment="1">
      <alignment horizontal="right" vertical="center"/>
    </xf>
    <xf numFmtId="172" fontId="7" fillId="0" borderId="3" xfId="0" applyNumberFormat="1" applyFont="1" applyFill="1" applyBorder="1" applyAlignment="1">
      <alignment horizontal="right" vertical="center"/>
    </xf>
    <xf numFmtId="165" fontId="4" fillId="0" borderId="2" xfId="0" applyNumberFormat="1" applyFont="1" applyFill="1" applyBorder="1" applyAlignment="1">
      <alignment horizontal="right" vertical="center"/>
    </xf>
    <xf numFmtId="173" fontId="7" fillId="3" borderId="4" xfId="0" applyNumberFormat="1" applyFont="1" applyFill="1" applyBorder="1" applyAlignment="1">
      <alignment horizontal="right" vertical="center"/>
    </xf>
    <xf numFmtId="166" fontId="9" fillId="3" borderId="4" xfId="0" applyNumberFormat="1" applyFont="1" applyFill="1" applyBorder="1" applyAlignment="1">
      <alignment horizontal="left" vertical="center"/>
    </xf>
    <xf numFmtId="165" fontId="8" fillId="0" borderId="3" xfId="0" applyNumberFormat="1" applyFont="1" applyFill="1" applyBorder="1" applyAlignment="1">
      <alignment horizontal="right" vertical="center"/>
    </xf>
    <xf numFmtId="167" fontId="4" fillId="0" borderId="2" xfId="0" applyNumberFormat="1" applyFont="1" applyFill="1" applyBorder="1" applyAlignment="1">
      <alignment horizontal="right" vertical="center"/>
    </xf>
    <xf numFmtId="170" fontId="0" fillId="0" borderId="3" xfId="0" applyNumberFormat="1" applyFont="1" applyFill="1" applyBorder="1" applyAlignment="1">
      <alignment horizontal="right" vertical="center"/>
    </xf>
    <xf numFmtId="170" fontId="4" fillId="0" borderId="2" xfId="0" applyNumberFormat="1" applyFont="1" applyFill="1" applyBorder="1" applyAlignment="1">
      <alignment horizontal="right" vertical="center"/>
    </xf>
    <xf numFmtId="174" fontId="0" fillId="0" borderId="3" xfId="0" applyNumberFormat="1" applyFont="1" applyFill="1" applyBorder="1" applyAlignment="1">
      <alignment horizontal="right" vertical="center"/>
    </xf>
    <xf numFmtId="173" fontId="7" fillId="0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tabColor rgb="FF1F3864"/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24.0" customWidth="1"/>
    <col min="2" max="2" width="10.0" customWidth="1"/>
    <col min="3" max="3" width="10.0" customWidth="1"/>
    <col min="4" max="4" width="14.5" customWidth="1"/>
    <col min="5" max="5" width="14.5" customWidth="1"/>
    <col min="6" max="6" width="10.0" customWidth="1"/>
    <col min="7" max="7" width="10.0" customWidth="1"/>
    <col min="8" max="8" width="10.0" customWidth="1"/>
    <col min="9" max="9" width="10.0" customWidth="1"/>
    <col min="10" max="10" width="46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宁德时代 估值汇总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估值基准日 </t>
          </r>
          <r>
            <rPr>
              <i/>
              <sz val="9"/>
              <color rgb="FF595959"/>
              <rFont val="Arial"/>
              <family val="2"/>
            </rPr>
            <t xml:space="preserve">2026-09-30</t>
          </r>
          <r>
            <rPr>
              <i/>
              <sz val="9"/>
              <color rgb="FF595959"/>
              <rFont val="KaiTi"/>
              <family val="2"/>
            </rPr>
            <t xml:space="preserve">；模型状态 </t>
          </r>
          <r>
            <rPr>
              <i/>
              <sz val="9"/>
              <color rgb="FF595959"/>
              <rFont val="Arial"/>
              <family val="2"/>
            </rPr>
            <t xml:space="preserve">screen-grade</t>
          </r>
          <r>
            <rPr>
              <i/>
              <sz val="9"/>
              <color rgb="FF595959"/>
              <rFont val="KaiTi"/>
              <family val="2"/>
            </rPr>
            <t xml:space="preserve">；</t>
          </r>
          <r>
            <rPr>
              <i/>
              <sz val="9"/>
              <color rgb="FF595959"/>
              <rFont val="Arial"/>
              <family val="2"/>
            </rPr>
            <t xml:space="preserve">DCF </t>
          </r>
          <r>
            <rPr>
              <i/>
              <sz val="9"/>
              <color rgb="FF595959"/>
              <rFont val="KaiTi"/>
              <family val="2"/>
            </rPr>
            <t xml:space="preserve">各情景经营预测取自三表模型；不构成投资建议</t>
          </r>
        </is>
      </c>
    </row>
    <row r="3" ht="20" customHeight="1"/>
    <row r="4" ht="36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情景</t>
          </r>
        </is>
      </c>
      <c r="B4" s="3" t="inlineStr">
        <is>
          <t xml:space="preserve">WACC</t>
        </is>
      </c>
      <c r="C4" s="3" t="inlineStr">
        <is>
          <r>
            <rPr>
              <b/>
              <sz val="12"/>
              <color rgb="FFFFFFFF"/>
              <rFont val="KaiTi"/>
              <family val="2"/>
            </rPr>
            <t xml:space="preserve">永续增长率</t>
          </r>
        </is>
      </c>
      <c r="D4" s="3" t="inlineStr">
        <is>
          <r>
            <rPr>
              <b/>
              <sz val="12"/>
              <color rgb="FFFFFFFF"/>
              <rFont val="KaiTi"/>
              <family val="2"/>
            </rPr>
            <t xml:space="preserve">企业价值（百万元）</t>
          </r>
        </is>
      </c>
      <c r="E4" s="3" t="inlineStr">
        <is>
          <r>
            <rPr>
              <b/>
              <sz val="12"/>
              <color rgb="FFFFFFFF"/>
              <rFont val="KaiTi"/>
              <family val="2"/>
            </rPr>
            <t xml:space="preserve">股权价值（百万元）</t>
          </r>
        </is>
      </c>
      <c r="F4" s="3" t="inlineStr">
        <is>
          <r>
            <rPr>
              <b/>
              <sz val="12"/>
              <color rgb="FFFFFFFF"/>
              <rFont val="KaiTi"/>
              <family val="2"/>
            </rPr>
            <t xml:space="preserve">每股价值（元）</t>
          </r>
        </is>
      </c>
      <c r="G4" s="3" t="inlineStr">
        <is>
          <r>
            <rPr>
              <b/>
              <sz val="12"/>
              <color rgb="FFFFFFFF"/>
              <rFont val="KaiTi"/>
              <family val="2"/>
            </rPr>
            <t xml:space="preserve">较现价空间</t>
          </r>
        </is>
      </c>
      <c r="H4" s="3" t="inlineStr">
        <is>
          <r>
            <rPr>
              <b/>
              <sz val="12"/>
              <color rgb="FFFFFFFF"/>
              <rFont val="KaiTi"/>
              <family val="2"/>
            </rPr>
            <t xml:space="preserve">终值占 </t>
          </r>
          <r>
            <rPr>
              <b/>
              <sz val="12"/>
              <color rgb="FFFFFFFF"/>
              <rFont val="Arial"/>
              <family val="2"/>
            </rPr>
            <t xml:space="preserve">EV</t>
          </r>
        </is>
      </c>
      <c r="I4" s="3" t="inlineStr">
        <is>
          <r>
            <rPr>
              <b/>
              <sz val="12"/>
              <color rgb="FFFFFFFF"/>
              <rFont val="KaiTi"/>
              <family val="2"/>
            </rPr>
            <t xml:space="preserve">隐含 </t>
          </r>
          <r>
            <rPr>
              <b/>
              <sz val="12"/>
              <color rgb="FFFFFFFF"/>
              <rFont val="Arial"/>
              <family val="2"/>
            </rPr>
            <t xml:space="preserve">EV/EBITDA</t>
          </r>
        </is>
      </c>
      <c r="J4" s="4" t="inlineStr">
        <is>
          <r>
            <rPr>
              <b/>
              <sz val="12"/>
              <color rgb="FFFFFFFF"/>
              <rFont val="KaiTi"/>
              <family val="2"/>
            </rPr>
            <t xml:space="preserve">情景说明</t>
          </r>
        </is>
      </c>
    </row>
    <row r="5">
      <c r="A5" s="5" t="inlineStr">
        <is>
          <r>
            <rPr>
              <sz val="12"/>
              <rFont val="KaiTi"/>
              <family val="2"/>
            </rPr>
            <t xml:space="preserve">基准</t>
          </r>
        </is>
      </c>
      <c r="B5" s="6">
        <v>0.08310000000000001</v>
      </c>
      <c r="C5" s="7">
        <v>0.025</v>
      </c>
      <c r="D5" s="8">
        <v>1426346.0225606551</v>
      </c>
      <c r="E5" s="8">
        <v>1749340.8505606554</v>
      </c>
      <c r="F5" s="9">
        <v>383.3076632594605</v>
      </c>
      <c r="G5" s="7">
        <v>0.3167107391002044</v>
      </c>
      <c r="H5" s="7">
        <v>0.7908460184083232</v>
      </c>
      <c r="I5" s="10">
        <v>9.973806894711222</v>
      </c>
      <c r="J5" s="11" t="inlineStr">
        <is>
          <r>
            <rPr>
              <sz val="12"/>
              <rFont val="KaiTi"/>
              <family val="2"/>
            </rPr>
            <t xml:space="preserve">动力电池份额稳中有升、储能高增长，单价随原材料温和下行，利润率大体稳定。</t>
          </r>
        </is>
      </c>
    </row>
    <row r="6">
      <c r="A6" s="12" t="inlineStr">
        <is>
          <r>
            <rPr>
              <sz val="12"/>
              <rFont val="KaiTi"/>
              <family val="2"/>
            </rPr>
            <t xml:space="preserve">悲观</t>
          </r>
        </is>
      </c>
      <c r="B6" s="13">
        <v>0.08810000000000001</v>
      </c>
      <c r="C6" s="14">
        <v>0.02</v>
      </c>
      <c r="D6" s="15">
        <v>804175.9929400559</v>
      </c>
      <c r="E6" s="15">
        <v>1127170.820940056</v>
      </c>
      <c r="F6" s="16">
        <v>246.9805774731149</v>
      </c>
      <c r="G6" s="14">
        <v>-0.1515901979557044</v>
      </c>
      <c r="H6" s="14">
        <v>0.7517810023098717</v>
      </c>
      <c r="I6" s="17">
        <v>8.3452487849924</v>
      </c>
      <c r="J6" s="18" t="inlineStr">
        <is>
          <r>
            <rPr>
              <sz val="12"/>
              <rFont val="KaiTi"/>
              <family val="2"/>
            </rPr>
            <t xml:space="preserve">行业产能过剩与价格战，海外贸易壁垒抬升，销量增速放缓、单价与毛利率下行。</t>
          </r>
        </is>
      </c>
    </row>
    <row r="7">
      <c r="A7" s="12" t="inlineStr">
        <is>
          <r>
            <rPr>
              <sz val="12"/>
              <rFont val="KaiTi"/>
              <family val="2"/>
            </rPr>
            <t xml:space="preserve">乐观</t>
          </r>
        </is>
      </c>
      <c r="B7" s="13">
        <v>0.0806</v>
      </c>
      <c r="C7" s="14">
        <v>0.03</v>
      </c>
      <c r="D7" s="15">
        <v>2083498.3485037282</v>
      </c>
      <c r="E7" s="15">
        <v>2406493.176503728</v>
      </c>
      <c r="F7" s="16">
        <v>527.2999117581043</v>
      </c>
      <c r="G7" s="14">
        <v>0.8113424882625271</v>
      </c>
      <c r="H7" s="14">
        <v>0.8233655849432514</v>
      </c>
      <c r="I7" s="17">
        <v>11.537615092322458</v>
      </c>
      <c r="J7" s="18" t="inlineStr">
        <is>
          <r>
            <rPr>
              <sz val="12"/>
              <rFont val="KaiTi"/>
              <family val="2"/>
            </rPr>
            <t xml:space="preserve">储能需求延续高增长、海外份额提升，锂价企稳带动单价持平、毛利率小幅改善。</t>
          </r>
        </is>
      </c>
    </row>
    <row r="8" ht="20" customHeight="1"/>
    <row r="9" ht="24" customHeight="1">
      <c r="A9" s="3" t="inlineStr">
        <is>
          <r>
            <rPr>
              <b/>
              <sz val="12"/>
              <color rgb="FFFFFFFF"/>
              <rFont val="KaiTi"/>
              <family val="2"/>
            </rPr>
            <t xml:space="preserve">方法</t>
          </r>
        </is>
      </c>
      <c r="B9" s="3" t="inlineStr">
        <is>
          <r>
            <rPr>
              <b/>
              <sz val="12"/>
              <color rgb="FFFFFFFF"/>
              <rFont val="KaiTi"/>
              <family val="2"/>
            </rPr>
            <t xml:space="preserve">低</t>
          </r>
        </is>
      </c>
      <c r="C9" s="3" t="inlineStr">
        <is>
          <r>
            <rPr>
              <b/>
              <sz val="12"/>
              <color rgb="FFFFFFFF"/>
              <rFont val="KaiTi"/>
              <family val="2"/>
            </rPr>
            <t xml:space="preserve">中</t>
          </r>
          <r>
            <rPr>
              <b/>
              <sz val="12"/>
              <color rgb="FFFFFFFF"/>
              <rFont val="Arial"/>
              <family val="2"/>
            </rPr>
            <t xml:space="preserve">/</t>
          </r>
          <r>
            <rPr>
              <b/>
              <sz val="12"/>
              <color rgb="FFFFFFFF"/>
              <rFont val="KaiTi"/>
              <family val="2"/>
            </rPr>
            <t xml:space="preserve">基准</t>
          </r>
        </is>
      </c>
      <c r="D9" s="3" t="inlineStr">
        <is>
          <r>
            <rPr>
              <b/>
              <sz val="12"/>
              <color rgb="FFFFFFFF"/>
              <rFont val="KaiTi"/>
              <family val="2"/>
            </rPr>
            <t xml:space="preserve">高</t>
          </r>
        </is>
      </c>
    </row>
    <row r="10" ht="20" customHeight="1">
      <c r="A10" s="12" t="inlineStr">
        <is>
          <r>
            <rPr>
              <sz val="12"/>
              <rFont val="Arial"/>
              <family val="2"/>
            </rPr>
            <t xml:space="preserve">DCF </t>
          </r>
          <r>
            <rPr>
              <sz val="12"/>
              <rFont val="KaiTi"/>
              <family val="2"/>
            </rPr>
            <t xml:space="preserve">每股价值（元）</t>
          </r>
        </is>
      </c>
      <c r="B10" s="16">
        <v>246.9805774731149</v>
      </c>
      <c r="C10" s="16">
        <v>383.3076632594605</v>
      </c>
      <c r="D10" s="16">
        <v>527.2999117581043</v>
      </c>
    </row>
    <row r="11" ht="20" customHeight="1">
      <c r="A11" s="12" t="inlineStr">
        <is>
          <r>
            <rPr>
              <sz val="12"/>
              <rFont val="KaiTi"/>
              <family val="2"/>
            </rPr>
            <t xml:space="preserve">参考股价（元）</t>
          </r>
        </is>
      </c>
      <c r="B11" s="12"/>
      <c r="C11" s="16">
        <v>291.11</v>
      </c>
      <c r="D11" s="12"/>
    </row>
    <row r="12" ht="16" customHeight="1">
      <c r="A12" s="2" t="inlineStr">
        <is>
          <r>
            <rPr>
              <i/>
              <sz val="9"/>
              <color rgb="FF595959"/>
              <rFont val="Arial"/>
              <family val="2"/>
            </rPr>
            <t xml:space="preserve">DCF </t>
          </r>
          <r>
            <rPr>
              <i/>
              <sz val="9"/>
              <color rgb="FF595959"/>
              <rFont val="KaiTi"/>
              <family val="2"/>
            </rPr>
            <t xml:space="preserve">与三表模型逐期核对：最大偏差 </t>
          </r>
          <r>
            <rPr>
              <i/>
              <sz val="9"/>
              <color rgb="FF595959"/>
              <rFont val="Arial"/>
              <family val="2"/>
            </rPr>
            <t xml:space="preserve">3.64e-12 </t>
          </r>
          <r>
            <rPr>
              <i/>
              <sz val="9"/>
              <color rgb="FF595959"/>
              <rFont val="KaiTi"/>
              <family val="2"/>
            </rPr>
            <t xml:space="preserve">百万元（一致）</t>
          </r>
        </is>
      </c>
    </row>
  </sheetData>
  <pageMargins left="0.5" right="0.5" top="0.6" bottom="0.6" header="0.3" footer="0.3"/>
  <pageSetup paperSize="9" orientation="landscape" fitToWidth="1" fitToHeight="0"/>
</worksheet>
</file>

<file path=xl/worksheets/sheet2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26.0" customWidth="1"/>
    <col min="2" max="2" width="14.5" customWidth="1"/>
    <col min="3" max="3" width="12.5" customWidth="1"/>
    <col min="4" max="4" width="12.5" customWidth="1"/>
    <col min="5" max="5" width="12.5" customWidth="1"/>
    <col min="6" max="6" width="12.5" customWidth="1"/>
    <col min="7" max="7" width="12.5" customWidth="1"/>
    <col min="8" max="8" width="12.5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盈利预测（基准情景）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单位：百万元（每股为元）；蓝色为报表值或三表模型输出，黑色为公式；预测期归母净利润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净利润 </t>
          </r>
          <r>
            <rPr>
              <i/>
              <sz val="9"/>
              <color rgb="FF595959"/>
              <rFont val="Arial"/>
              <family val="2"/>
            </rPr>
            <t xml:space="preserve">× </t>
          </r>
          <r>
            <rPr>
              <i/>
              <sz val="9"/>
              <color rgb="FF595959"/>
              <rFont val="KaiTi"/>
              <family val="2"/>
            </rPr>
            <t xml:space="preserve">最近实际年度归母占比；</t>
          </r>
          <r>
            <rPr>
              <i/>
              <sz val="9"/>
              <color rgb="FF595959"/>
              <rFont val="Arial"/>
              <family val="2"/>
            </rPr>
            <t xml:space="preserve">EPS </t>
          </r>
          <r>
            <rPr>
              <i/>
              <sz val="9"/>
              <color rgb="FF595959"/>
              <rFont val="KaiTi"/>
              <family val="2"/>
            </rPr>
            <t xml:space="preserve">按最近期末总股本摊薄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" s="3" t="inlineStr">
        <is>
          <t xml:space="preserve">2024A</t>
        </is>
      </c>
      <c r="C4" s="3" t="inlineStr">
        <is>
          <t xml:space="preserve">2025A</t>
        </is>
      </c>
      <c r="D4" s="3" t="inlineStr">
        <is>
          <t xml:space="preserve">2026E</t>
        </is>
      </c>
      <c r="E4" s="3" t="inlineStr">
        <is>
          <t xml:space="preserve">2027E</t>
        </is>
      </c>
      <c r="F4" s="3" t="inlineStr">
        <is>
          <t xml:space="preserve">2028E</t>
        </is>
      </c>
      <c r="G4" s="3" t="inlineStr">
        <is>
          <t xml:space="preserve">2029E</t>
        </is>
      </c>
      <c r="H4" s="3" t="inlineStr">
        <is>
          <t xml:space="preserve">2030E</t>
        </is>
      </c>
    </row>
    <row r="5" ht="20" customHeight="1">
      <c r="A5" s="19" t="inlineStr">
        <is>
          <r>
            <rPr>
              <b/>
              <sz val="12"/>
              <rFont val="KaiTi"/>
              <family val="2"/>
            </rPr>
            <t xml:space="preserve">营业收入</t>
          </r>
        </is>
      </c>
      <c r="B5" s="20">
        <v>362012.554</v>
      </c>
      <c r="C5" s="20">
        <v>423701.834</v>
      </c>
      <c r="D5" s="21">
        <f>'三表-利润表'!D5</f>
        <v>508598.68656249996</v>
      </c>
      <c r="E5" s="21">
        <f>'三表-利润表'!E5</f>
        <v>585636.17404219</v>
      </c>
      <c r="F5" s="21">
        <f>'三表-利润表'!F5</f>
        <v>659795.754378739</v>
      </c>
      <c r="G5" s="21">
        <f>'三表-利润表'!G5</f>
        <v>720186.4689761453</v>
      </c>
      <c r="H5" s="21">
        <f>'三表-利润表'!H5</f>
        <v>772074.255536241</v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营业收入增长率</t>
          </r>
        </is>
      </c>
      <c r="B6" s="12"/>
      <c r="C6" s="14">
        <f>C5/B5-1</f>
        <v>0.1704064660696822</v>
      </c>
      <c r="D6" s="14">
        <f>D5/C5-1</f>
        <v>0.20036932991538559</v>
      </c>
      <c r="E6" s="14">
        <f>E5/D5-1</f>
        <v>0.15147008734994666</v>
      </c>
      <c r="F6" s="14">
        <f>F5/E5-1</f>
        <v>0.12663080530815457</v>
      </c>
      <c r="G6" s="14">
        <f>G5/F5-1</f>
        <v>0.09152940769415817</v>
      </c>
      <c r="H6" s="14">
        <f>H5/G5-1</f>
        <v>0.07204771096833032</v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营业成本</t>
          </r>
        </is>
      </c>
      <c r="B7" s="22">
        <v>273518.959</v>
      </c>
      <c r="C7" s="22">
        <v>312383.297</v>
      </c>
      <c r="D7" s="23">
        <f>'三表-利润表'!D6</f>
        <v>378089.4107679875</v>
      </c>
      <c r="E7" s="23">
        <f>'三表-利润表'!E6</f>
        <v>436832.12674172467</v>
      </c>
      <c r="F7" s="23">
        <f>'三表-利润表'!F6</f>
        <v>493132.3288731116</v>
      </c>
      <c r="G7" s="23">
        <f>'三表-利润表'!G6</f>
        <v>538934.5063412165</v>
      </c>
      <c r="H7" s="23">
        <f>'三表-利润表'!H6</f>
        <v>578274.614549443</v>
      </c>
    </row>
    <row r="8" ht="20" customHeight="1">
      <c r="A8" s="19" t="inlineStr">
        <is>
          <r>
            <rPr>
              <b/>
              <sz val="12"/>
              <rFont val="KaiTi"/>
              <family val="2"/>
            </rPr>
            <t xml:space="preserve">毛利</t>
          </r>
        </is>
      </c>
      <c r="B8" s="24">
        <f>B5-B7</f>
        <v>88493.595</v>
      </c>
      <c r="C8" s="24">
        <f>C5-C7</f>
        <v>111318.537</v>
      </c>
      <c r="D8" s="24">
        <f>D5-D7</f>
        <v>130509.27579451248</v>
      </c>
      <c r="E8" s="24">
        <f>E5-E7</f>
        <v>148804.0473004653</v>
      </c>
      <c r="F8" s="24">
        <f>F5-F7</f>
        <v>166663.42550562747</v>
      </c>
      <c r="G8" s="24">
        <f>G5-G7</f>
        <v>181251.9626349288</v>
      </c>
      <c r="H8" s="24">
        <f>H5-H7</f>
        <v>193799.64098679798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毛利率</t>
          </r>
        </is>
      </c>
      <c r="B9" s="14">
        <f>B8/B5</f>
        <v>0.2444489673692366</v>
      </c>
      <c r="C9" s="14">
        <f>C8/C5</f>
        <v>0.26272847570445024</v>
      </c>
      <c r="D9" s="14">
        <f>D8/D5</f>
        <v>0.2566056091819549</v>
      </c>
      <c r="E9" s="14">
        <f>E8/E5</f>
        <v>0.2540895762524144</v>
      </c>
      <c r="F9" s="14">
        <f>F8/F5</f>
        <v>0.25259851158417507</v>
      </c>
      <c r="G9" s="14">
        <f>G8/G5</f>
        <v>0.2516736573690506</v>
      </c>
      <c r="H9" s="14">
        <f>H8/H5</f>
        <v>0.2510116605975875</v>
      </c>
    </row>
    <row r="10" ht="20" customHeight="1">
      <c r="A10" s="12" t="inlineStr">
        <is>
          <r>
            <rPr>
              <sz val="12"/>
              <rFont val="Arial"/>
              <family val="2"/>
            </rPr>
            <t xml:space="preserve">EBIT</t>
          </r>
          <r>
            <rPr>
              <sz val="12"/>
              <rFont val="KaiTi"/>
              <family val="2"/>
            </rPr>
            <t xml:space="preserve">（经营性）</t>
          </r>
        </is>
      </c>
      <c r="B10" s="22">
        <v>54398.075</v>
      </c>
      <c r="C10" s="22">
        <v>72642.051</v>
      </c>
      <c r="D10" s="23">
        <f>'三表-利润表'!D11</f>
        <v>83280.67528849488</v>
      </c>
      <c r="E10" s="23">
        <f>'三表-利润表'!E11</f>
        <v>95843.4337590586</v>
      </c>
      <c r="F10" s="23">
        <f>'三表-利润表'!F11</f>
        <v>108407.06442584854</v>
      </c>
      <c r="G10" s="23">
        <f>'三表-利润表'!G11</f>
        <v>118760.24427182082</v>
      </c>
      <c r="H10" s="23">
        <f>'三表-利润表'!H11</f>
        <v>127598.16767898045</v>
      </c>
    </row>
    <row r="11" ht="20" customHeight="1">
      <c r="A11" s="12" t="inlineStr">
        <is>
          <r>
            <rPr>
              <sz val="12"/>
              <rFont val="KaiTi"/>
              <family val="2"/>
            </rPr>
            <t xml:space="preserve">净利润</t>
          </r>
        </is>
      </c>
      <c r="B11" s="22">
        <v>54006.794</v>
      </c>
      <c r="C11" s="22">
        <v>76786.309</v>
      </c>
      <c r="D11" s="23">
        <f>'三表-利润表'!D17</f>
        <v>77793.89282363687</v>
      </c>
      <c r="E11" s="23">
        <f>'三表-利润表'!E17</f>
        <v>88568.88535588609</v>
      </c>
      <c r="F11" s="23">
        <f>'三表-利润表'!F17</f>
        <v>99344.62596490892</v>
      </c>
      <c r="G11" s="23">
        <f>'三表-利润表'!G17</f>
        <v>108224.47793267333</v>
      </c>
      <c r="H11" s="23">
        <f>'三表-利润表'!H17</f>
        <v>115804.70475434384</v>
      </c>
    </row>
    <row r="12" ht="20" customHeight="1">
      <c r="A12" s="19" t="inlineStr">
        <is>
          <r>
            <rPr>
              <b/>
              <sz val="12"/>
              <rFont val="KaiTi"/>
              <family val="2"/>
            </rPr>
            <t xml:space="preserve">归母净利润</t>
          </r>
        </is>
      </c>
      <c r="B12" s="20">
        <v>50744.682</v>
      </c>
      <c r="C12" s="20">
        <v>72201.282</v>
      </c>
      <c r="D12" s="24">
        <f>D11*$C$12/$C$11</f>
        <v>73148.70146496015</v>
      </c>
      <c r="E12" s="24">
        <f>E11*$C$12/$C$11</f>
        <v>83280.30284677444</v>
      </c>
      <c r="F12" s="24">
        <f>F11*$C$12/$C$11</f>
        <v>93412.60763656332</v>
      </c>
      <c r="G12" s="24">
        <f>G11*$C$12/$C$11</f>
        <v>101762.2301720444</v>
      </c>
      <c r="H12" s="24">
        <f>H11*$C$12/$C$11</f>
        <v>108889.83015051707</v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归母净利润增长率</t>
          </r>
        </is>
      </c>
      <c r="B13" s="12"/>
      <c r="C13" s="14">
        <f>C12/B12-1</f>
        <v>0.42283445583519463</v>
      </c>
      <c r="D13" s="14">
        <f>D12/C12-1</f>
        <v>0.013121920258426213</v>
      </c>
      <c r="E13" s="14">
        <f>E12/D12-1</f>
        <v>0.13850692054550776</v>
      </c>
      <c r="F13" s="14">
        <f>F12/E12-1</f>
        <v>0.12166508097876493</v>
      </c>
      <c r="G13" s="14">
        <f>G12/F12-1</f>
        <v>0.0893843213109584</v>
      </c>
      <c r="H13" s="14">
        <f>H12/G12-1</f>
        <v>0.07004170374826106</v>
      </c>
    </row>
    <row r="14" ht="20" customHeight="1">
      <c r="A14" s="12" t="inlineStr">
        <is>
          <r>
            <rPr>
              <sz val="12"/>
              <rFont val="KaiTi"/>
              <family val="2"/>
            </rPr>
            <t xml:space="preserve">归母净利率</t>
          </r>
        </is>
      </c>
      <c r="B14" s="14">
        <f>B12/B5</f>
        <v>0.14017381839194448</v>
      </c>
      <c r="C14" s="14">
        <f>C12/C5</f>
        <v>0.17040587556201137</v>
      </c>
      <c r="D14" s="14">
        <f>D12/D5</f>
        <v>0.14382400780339247</v>
      </c>
      <c r="E14" s="14">
        <f>E12/E5</f>
        <v>0.14220484754545717</v>
      </c>
      <c r="F14" s="14">
        <f>F12/F5</f>
        <v>0.1415780671770467</v>
      </c>
      <c r="G14" s="14">
        <f>G12/G5</f>
        <v>0.1412998363003333</v>
      </c>
      <c r="H14" s="14">
        <f>H12/H5</f>
        <v>0.14103543716127162</v>
      </c>
    </row>
    <row r="15" ht="20" customHeight="1"/>
    <row r="16" ht="20" customHeight="1">
      <c r="A16" s="12" t="inlineStr">
        <is>
          <r>
            <rPr>
              <sz val="12"/>
              <rFont val="KaiTi"/>
              <family val="2"/>
            </rPr>
            <t xml:space="preserve">总股本（百万股）</t>
          </r>
        </is>
      </c>
      <c r="B16" s="22">
        <v>4563.803488</v>
      </c>
    </row>
    <row r="17" ht="20" customHeight="1">
      <c r="A17" s="12" t="inlineStr">
        <is>
          <r>
            <rPr>
              <sz val="12"/>
              <rFont val="KaiTi"/>
              <family val="2"/>
            </rPr>
            <t xml:space="preserve">参考股价（元）</t>
          </r>
        </is>
      </c>
      <c r="B17" s="25">
        <v>291.11</v>
      </c>
    </row>
    <row r="18" ht="20" customHeight="1">
      <c r="A18" s="12" t="inlineStr">
        <is>
          <r>
            <rPr>
              <sz val="12"/>
              <rFont val="KaiTi"/>
              <family val="2"/>
            </rPr>
            <t xml:space="preserve">总市值（百万元）</t>
          </r>
        </is>
      </c>
      <c r="B18" s="15">
        <f>B16*B17</f>
        <v>1328568.8333916801</v>
      </c>
    </row>
    <row r="19" ht="20" customHeight="1"/>
    <row r="20" ht="24" customHeight="1">
      <c r="A20" s="3" t="inlineStr">
        <is>
          <r>
            <rPr>
              <b/>
              <sz val="12"/>
              <color rgb="FFFFFFFF"/>
              <rFont val="KaiTi"/>
              <family val="2"/>
            </rPr>
            <t xml:space="preserve">每股指标与估值</t>
          </r>
        </is>
      </c>
      <c r="B20" s="3" t="inlineStr">
        <is>
          <t xml:space="preserve">2024A</t>
        </is>
      </c>
      <c r="C20" s="3" t="inlineStr">
        <is>
          <t xml:space="preserve">2025A</t>
        </is>
      </c>
      <c r="D20" s="3" t="inlineStr">
        <is>
          <t xml:space="preserve">2026E</t>
        </is>
      </c>
      <c r="E20" s="3" t="inlineStr">
        <is>
          <t xml:space="preserve">2027E</t>
        </is>
      </c>
      <c r="F20" s="3" t="inlineStr">
        <is>
          <t xml:space="preserve">2028E</t>
        </is>
      </c>
      <c r="G20" s="3" t="inlineStr">
        <is>
          <t xml:space="preserve">2029E</t>
        </is>
      </c>
      <c r="H20" s="3" t="inlineStr">
        <is>
          <t xml:space="preserve">2030E</t>
        </is>
      </c>
    </row>
    <row r="21" ht="20" customHeight="1">
      <c r="A21" s="12" t="inlineStr">
        <is>
          <r>
            <rPr>
              <sz val="12"/>
              <rFont val="KaiTi"/>
              <family val="2"/>
            </rPr>
            <t xml:space="preserve">每股收益（元）</t>
          </r>
        </is>
      </c>
      <c r="B21" s="25">
        <v>11.58</v>
      </c>
      <c r="C21" s="25">
        <v>16.14</v>
      </c>
      <c r="D21" s="16">
        <f>D12/$B$16</f>
        <v>16.028012962717675</v>
      </c>
      <c r="E21" s="16">
        <f>E12/$B$16</f>
        <v>18.24800368064718</v>
      </c>
      <c r="F21" s="16">
        <f>F12/$B$16</f>
        <v>20.46814852615392</v>
      </c>
      <c r="G21" s="16">
        <f>G12/$B$16</f>
        <v>22.297680090656083</v>
      </c>
      <c r="H21" s="16">
        <f>H12/$B$16</f>
        <v>23.859447593839317</v>
      </c>
    </row>
    <row r="22" ht="20" customHeight="1">
      <c r="A22" s="12" t="inlineStr">
        <is>
          <r>
            <rPr>
              <sz val="12"/>
              <rFont val="Arial"/>
              <family val="2"/>
            </rPr>
            <t xml:space="preserve">P/E</t>
          </r>
          <r>
            <rPr>
              <sz val="12"/>
              <rFont val="KaiTi"/>
              <family val="2"/>
            </rPr>
            <t xml:space="preserve">（倍，按参考股价）</t>
          </r>
        </is>
      </c>
      <c r="B22" s="17">
        <f>$B$17/B21</f>
        <v>25.139032815198618</v>
      </c>
      <c r="C22" s="17">
        <f>$B$17/C21</f>
        <v>18.036555142503097</v>
      </c>
      <c r="D22" s="17">
        <f>$B$17/D21</f>
        <v>18.162575777617793</v>
      </c>
      <c r="E22" s="17">
        <f>$B$17/E21</f>
        <v>15.952977930881016</v>
      </c>
      <c r="F22" s="17">
        <f>$B$17/F21</f>
        <v>14.22258586935812</v>
      </c>
      <c r="G22" s="17">
        <f>$B$17/G21</f>
        <v>13.055618289276229</v>
      </c>
      <c r="H22" s="17">
        <f>$B$17/H21</f>
        <v>12.201036878790385</v>
      </c>
    </row>
    <row r="23" ht="16" customHeight="1">
      <c r="A23" s="2" t="inlineStr">
        <is>
          <r>
            <rPr>
              <i/>
              <sz val="9"/>
              <color rgb="FF595959"/>
              <rFont val="KaiTi"/>
              <family val="2"/>
            </rPr>
            <t xml:space="preserve">注：实际年度 </t>
          </r>
          <r>
            <rPr>
              <i/>
              <sz val="9"/>
              <color rgb="FF595959"/>
              <rFont val="Arial"/>
              <family val="2"/>
            </rPr>
            <t xml:space="preserve">EPS </t>
          </r>
          <r>
            <rPr>
              <i/>
              <sz val="9"/>
              <color rgb="FF595959"/>
              <rFont val="KaiTi"/>
              <family val="2"/>
            </rPr>
            <t xml:space="preserve">为报表基本每股收益（加权平均股本）；预测期归母净利润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三表模型净利润 </t>
          </r>
          <r>
            <rPr>
              <i/>
              <sz val="9"/>
              <color rgb="FF595959"/>
              <rFont val="Arial"/>
              <family val="2"/>
            </rPr>
            <t xml:space="preserve">× 0.9403</t>
          </r>
          <r>
            <rPr>
              <i/>
              <sz val="9"/>
              <color rgb="FF595959"/>
              <rFont val="KaiTi"/>
              <family val="2"/>
            </rPr>
            <t xml:space="preserve">（</t>
          </r>
          <r>
            <rPr>
              <i/>
              <sz val="9"/>
              <color rgb="FF595959"/>
              <rFont val="Arial"/>
              <family val="2"/>
            </rPr>
            <t xml:space="preserve">2025 </t>
          </r>
          <r>
            <rPr>
              <i/>
              <sz val="9"/>
              <color rgb="FF595959"/>
              <rFont val="KaiTi"/>
              <family val="2"/>
            </rPr>
            <t xml:space="preserve">年归母净利润</t>
          </r>
          <r>
            <rPr>
              <i/>
              <sz val="9"/>
              <color rgb="FF595959"/>
              <rFont val="Arial"/>
              <family val="2"/>
            </rPr>
            <t xml:space="preserve">/</t>
          </r>
          <r>
            <rPr>
              <i/>
              <sz val="9"/>
              <color rgb="FF595959"/>
              <rFont val="KaiTi"/>
              <family val="2"/>
            </rPr>
            <t xml:space="preserve">净利润，假设少数股东损益占比不变）；预测期 </t>
          </r>
          <r>
            <rPr>
              <i/>
              <sz val="9"/>
              <color rgb="FF595959"/>
              <rFont val="Arial"/>
              <family val="2"/>
            </rPr>
            <t xml:space="preserve">EPS </t>
          </r>
          <r>
            <rPr>
              <i/>
              <sz val="9"/>
              <color rgb="FF595959"/>
              <rFont val="KaiTi"/>
              <family val="2"/>
            </rPr>
            <t xml:space="preserve">按 </t>
          </r>
          <r>
            <rPr>
              <i/>
              <sz val="9"/>
              <color rgb="FF595959"/>
              <rFont val="Arial"/>
              <family val="2"/>
            </rPr>
            <t xml:space="preserve">2025 </t>
          </r>
          <r>
            <rPr>
              <i/>
              <sz val="9"/>
              <color rgb="FF595959"/>
              <rFont val="KaiTi"/>
              <family val="2"/>
            </rPr>
            <t xml:space="preserve">年末总股本摊薄，未考虑回购注销对股本的影响</t>
          </r>
        </is>
      </c>
    </row>
  </sheetData>
  <pageMargins left="0.5" right="0.5" top="0.6" bottom="0.6" header="0.3" footer="0.3"/>
  <pageSetup paperSize="9" orientation="landscape" fitToWidth="1" fitToHeight="0"/>
</worksheet>
</file>

<file path=xl/worksheets/sheet3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34.0" customWidth="1"/>
    <col min="2" max="2" width="14.5" customWidth="1"/>
    <col min="3" max="3" width="12.5" customWidth="1"/>
    <col min="4" max="4" width="12.5" customWidth="1"/>
    <col min="5" max="5" width="12.5" customWidth="1"/>
    <col min="6" max="6" width="12.5" customWidth="1"/>
    <col min="7" max="7" width="12.5" customWidth="1"/>
    <col min="8" max="8" width="2.5" customWidth="1"/>
    <col min="9" max="9" width="6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宁德时代 </t>
          </r>
          <r>
            <rPr>
              <b/>
              <sz val="14"/>
              <color rgb="FF1F3864"/>
              <rFont val="Arial"/>
              <family val="2"/>
            </rPr>
            <t xml:space="preserve">DCF </t>
          </r>
          <r>
            <rPr>
              <b/>
              <sz val="14"/>
              <color rgb="FF1F3864"/>
              <rFont val="KaiTi"/>
              <family val="2"/>
            </rPr>
            <t xml:space="preserve">估值（</t>
          </r>
          <r>
            <rPr>
              <b/>
              <sz val="14"/>
              <color rgb="FF1F3864"/>
              <rFont val="Arial"/>
              <family val="2"/>
            </rPr>
            <t xml:space="preserve">FCFF</t>
          </r>
          <r>
            <rPr>
              <b/>
              <sz val="14"/>
              <color rgb="FF1F3864"/>
              <rFont val="KaiTi"/>
              <family val="2"/>
            </rPr>
            <t xml:space="preserve">，情景随</t>
          </r>
          <r>
            <rPr>
              <b/>
              <sz val="14"/>
              <color rgb="FF1F3864"/>
              <rFont val="Arial"/>
              <family val="2"/>
            </rPr>
            <t xml:space="preserve">“</t>
          </r>
          <r>
            <rPr>
              <b/>
              <sz val="14"/>
              <color rgb="FF1F3864"/>
              <rFont val="KaiTi"/>
              <family val="2"/>
            </rPr>
            <t xml:space="preserve">三表</t>
          </r>
          <r>
            <rPr>
              <b/>
              <sz val="14"/>
              <color rgb="FF1F3864"/>
              <rFont val="Arial"/>
              <family val="2"/>
            </rPr>
            <t xml:space="preserve">-</t>
          </r>
          <r>
            <rPr>
              <b/>
              <sz val="14"/>
              <color rgb="FF1F3864"/>
              <rFont val="KaiTi"/>
              <family val="2"/>
            </rPr>
            <t xml:space="preserve">假设</t>
          </r>
          <r>
            <rPr>
              <b/>
              <sz val="14"/>
              <color rgb="FF1F3864"/>
              <rFont val="Arial"/>
              <family val="2"/>
            </rPr>
            <t xml:space="preserve">”B5 </t>
          </r>
          <r>
            <rPr>
              <b/>
              <sz val="14"/>
              <color rgb="FF1F3864"/>
              <rFont val="KaiTi"/>
              <family val="2"/>
            </rPr>
            <t xml:space="preserve">开关，默认基准）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单位：百万元（每股为元）；蓝色为输入（财报抽取值、三表模型输出、估值假设），黑色为公式，绿色为跨表引用；预测期经营数据引用三表联动页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项目（百万元）</t>
          </r>
        </is>
      </c>
      <c r="B4" s="3" t="inlineStr">
        <is>
          <t xml:space="preserve">FY2025A</t>
        </is>
      </c>
      <c r="C4" s="3" t="inlineStr">
        <is>
          <t xml:space="preserve">FY2026E</t>
        </is>
      </c>
      <c r="D4" s="3" t="inlineStr">
        <is>
          <t xml:space="preserve">FY2027E</t>
        </is>
      </c>
      <c r="E4" s="3" t="inlineStr">
        <is>
          <t xml:space="preserve">FY2028E</t>
        </is>
      </c>
      <c r="F4" s="3" t="inlineStr">
        <is>
          <t xml:space="preserve">FY2029E</t>
        </is>
      </c>
      <c r="G4" s="3" t="inlineStr">
        <is>
          <t xml:space="preserve">FY2030E</t>
        </is>
      </c>
      <c r="H4" s="2"/>
      <c r="I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5" ht="20" customHeight="1">
      <c r="A5" s="12" t="inlineStr">
        <is>
          <r>
            <rPr>
              <sz val="12"/>
              <rFont val="KaiTi"/>
              <family val="2"/>
            </rPr>
            <t xml:space="preserve">营业收入</t>
          </r>
        </is>
      </c>
      <c r="B5" s="22">
        <v>423701.834</v>
      </c>
      <c r="C5" s="23">
        <f>'三表-利润表'!D5</f>
        <v>508598.68656249996</v>
      </c>
      <c r="D5" s="23">
        <f>'三表-利润表'!E5</f>
        <v>585636.17404219</v>
      </c>
      <c r="E5" s="23">
        <f>'三表-利润表'!F5</f>
        <v>659795.754378739</v>
      </c>
      <c r="F5" s="23">
        <f>'三表-利润表'!G5</f>
        <v>720186.4689761453</v>
      </c>
      <c r="G5" s="23">
        <f>'三表-利润表'!H5</f>
        <v>772074.255536241</v>
      </c>
      <c r="H5" s="2"/>
      <c r="I5" s="2" t="inlineStr">
        <is>
          <r>
            <rPr>
              <i/>
              <sz val="9"/>
              <color rgb="FF595959"/>
              <rFont val="KaiTi"/>
              <family val="2"/>
            </rPr>
            <t xml:space="preserve">历史期取合并报表真值表；预测期引用三表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利润表。</t>
          </r>
        </is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收入增速</t>
          </r>
        </is>
      </c>
      <c r="B6" s="12"/>
      <c r="C6" s="14">
        <f>C5/B5-1</f>
        <v>0.2003693299153857</v>
      </c>
      <c r="D6" s="14">
        <f>D5/C5-1</f>
        <v>0.1514700873499466</v>
      </c>
      <c r="E6" s="14">
        <f>E5/D5-1</f>
        <v>0.12663080530815463</v>
      </c>
      <c r="F6" s="14">
        <f>F5/E5-1</f>
        <v>0.09152940769415818</v>
      </c>
      <c r="G6" s="14">
        <f>G5/F5-1</f>
        <v>0.0720477109683304</v>
      </c>
    </row>
    <row r="7" ht="20" customHeight="1">
      <c r="A7" s="12" t="inlineStr">
        <is>
          <r>
            <rPr>
              <sz val="12"/>
              <rFont val="Arial"/>
              <family val="2"/>
            </rPr>
            <t xml:space="preserve">EBIT</t>
          </r>
          <r>
            <rPr>
              <sz val="12"/>
              <rFont val="KaiTi"/>
              <family val="2"/>
            </rPr>
            <t xml:space="preserve">（剔除投资收益与公允价值变动）</t>
          </r>
        </is>
      </c>
      <c r="B7" s="22">
        <v>72642.05099999999</v>
      </c>
      <c r="C7" s="23">
        <f>'三表-利润表'!D11</f>
        <v>83280.67528849487</v>
      </c>
      <c r="D7" s="23">
        <f>'三表-利润表'!E11</f>
        <v>95843.4337590586</v>
      </c>
      <c r="E7" s="23">
        <f>'三表-利润表'!F11</f>
        <v>108407.06442584854</v>
      </c>
      <c r="F7" s="23">
        <f>'三表-利润表'!G11</f>
        <v>118760.24427182082</v>
      </c>
      <c r="G7" s="23">
        <f>'三表-利润表'!H11</f>
        <v>127598.16767898045</v>
      </c>
      <c r="H7" s="2"/>
      <c r="I7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 </t>
          </r>
          <r>
            <rPr>
              <i/>
              <sz val="9"/>
              <color rgb="FF595959"/>
              <rFont val="Arial"/>
              <family val="2"/>
            </rPr>
            <t xml:space="preserve">EBIT = </t>
          </r>
          <r>
            <rPr>
              <i/>
              <sz val="9"/>
              <color rgb="FF595959"/>
              <rFont val="KaiTi"/>
              <family val="2"/>
            </rPr>
            <t xml:space="preserve">利润总额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财务费用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投资收益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公允价值变动收益；预测期引用三表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利润表。</t>
          </r>
        </is>
      </c>
    </row>
    <row r="8" ht="20" customHeight="1">
      <c r="A8" s="12" t="inlineStr">
        <is>
          <r>
            <rPr>
              <sz val="12"/>
              <rFont val="Arial"/>
              <family val="2"/>
            </rPr>
            <t xml:space="preserve">EBIT </t>
          </r>
          <r>
            <rPr>
              <sz val="12"/>
              <rFont val="KaiTi"/>
              <family val="2"/>
            </rPr>
            <t xml:space="preserve">利润率</t>
          </r>
        </is>
      </c>
      <c r="B8" s="14">
        <f>B7/B5</f>
        <v>0.1714461566385384</v>
      </c>
      <c r="C8" s="14">
        <f>C7/C5</f>
        <v>0.1637453605147303</v>
      </c>
      <c r="D8" s="14">
        <f>D7/D5</f>
        <v>0.16365695632755417</v>
      </c>
      <c r="E8" s="14">
        <f>E7/E5</f>
        <v>0.16430397392890803</v>
      </c>
      <c r="F8" s="14">
        <f>F7/F5</f>
        <v>0.16490207659782416</v>
      </c>
      <c r="G8" s="14">
        <f>G7/G5</f>
        <v>0.1652667042891589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减：现金税（</t>
          </r>
          <r>
            <rPr>
              <sz val="12"/>
              <rFont val="Arial"/>
              <family val="2"/>
            </rPr>
            <t xml:space="preserve">EBIT × </t>
          </r>
          <r>
            <rPr>
              <sz val="12"/>
              <rFont val="KaiTi"/>
              <family val="2"/>
            </rPr>
            <t xml:space="preserve">税率）</t>
          </r>
        </is>
      </c>
      <c r="B9" s="22">
        <v>10337.457714514014</v>
      </c>
      <c r="C9" s="15">
        <f>C7*'三表-假设'!D19</f>
        <v>11851.406277487786</v>
      </c>
      <c r="D9" s="15">
        <f>D7*'三表-假设'!E19</f>
        <v>13639.172215802293</v>
      </c>
      <c r="E9" s="15">
        <f>E7*'三表-假设'!F19</f>
        <v>15427.06227356942</v>
      </c>
      <c r="F9" s="15">
        <f>F7*'三表-假设'!G19</f>
        <v>16900.39015177728</v>
      </c>
      <c r="G9" s="15">
        <f>G7*'三表-假设'!H19</f>
        <v>18158.086737266396</v>
      </c>
      <c r="H9" s="2"/>
      <c r="I9" s="2" t="inlineStr">
        <is>
          <r>
            <rPr>
              <i/>
              <sz val="9"/>
              <color rgb="FF595959"/>
              <rFont val="KaiTi"/>
              <family val="2"/>
            </rPr>
            <t xml:space="preserve">现金税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经营 </t>
          </r>
          <r>
            <rPr>
              <i/>
              <sz val="9"/>
              <color rgb="FF595959"/>
              <rFont val="Arial"/>
              <family val="2"/>
            </rPr>
            <t xml:space="preserve">EBIT × </t>
          </r>
          <r>
            <rPr>
              <i/>
              <sz val="9"/>
              <color rgb="FF595959"/>
              <rFont val="KaiTi"/>
              <family val="2"/>
            </rPr>
            <t xml:space="preserve">所得税率；税率引用三表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假设。</t>
          </r>
        </is>
      </c>
    </row>
    <row r="10" ht="20" customHeight="1">
      <c r="A10" s="19" t="inlineStr">
        <is>
          <t xml:space="preserve">NOPAT</t>
        </is>
      </c>
      <c r="B10" s="24">
        <f>B7-B9</f>
        <v>62304.59328548598</v>
      </c>
      <c r="C10" s="24">
        <f>C7-C9</f>
        <v>71429.26901100708</v>
      </c>
      <c r="D10" s="24">
        <f>D7-D9</f>
        <v>82204.2615432563</v>
      </c>
      <c r="E10" s="24">
        <f>E7-E9</f>
        <v>92980.00215227912</v>
      </c>
      <c r="F10" s="24">
        <f>F7-F9</f>
        <v>101859.85412004354</v>
      </c>
      <c r="G10" s="24">
        <f>G7-G9</f>
        <v>109440.08094171406</v>
      </c>
      <c r="H10" s="2"/>
      <c r="I10" s="2" t="inlineStr">
        <is>
          <r>
            <rPr>
              <i/>
              <sz val="9"/>
              <color rgb="FF595959"/>
              <rFont val="Arial"/>
              <family val="2"/>
            </rPr>
            <t xml:space="preserve">NOPAT = </t>
          </r>
          <r>
            <rPr>
              <i/>
              <sz val="9"/>
              <color rgb="FF595959"/>
              <rFont val="KaiTi"/>
              <family val="2"/>
            </rPr>
            <t xml:space="preserve">经营 </t>
          </r>
          <r>
            <rPr>
              <i/>
              <sz val="9"/>
              <color rgb="FF595959"/>
              <rFont val="Arial"/>
              <family val="2"/>
            </rPr>
            <t xml:space="preserve">EBIT − </t>
          </r>
          <r>
            <rPr>
              <i/>
              <sz val="9"/>
              <color rgb="FF595959"/>
              <rFont val="KaiTi"/>
              <family val="2"/>
            </rPr>
            <t xml:space="preserve">现金税。</t>
          </r>
        </is>
      </c>
    </row>
    <row r="11" ht="20" customHeight="1">
      <c r="A11" s="12" t="inlineStr">
        <is>
          <r>
            <rPr>
              <sz val="12"/>
              <rFont val="KaiTi"/>
              <family val="2"/>
            </rPr>
            <t xml:space="preserve">加：折旧摊销</t>
          </r>
        </is>
      </c>
      <c r="B11" s="22">
        <v>24834.78</v>
      </c>
      <c r="C11" s="23">
        <f>'三表-利润表'!D10</f>
        <v>30613.441149911887</v>
      </c>
      <c r="D11" s="23">
        <f>'三表-利润表'!E10</f>
        <v>33828.75454629836</v>
      </c>
      <c r="E11" s="23">
        <f>'三表-利润表'!F10</f>
        <v>36701.819373077946</v>
      </c>
      <c r="F11" s="23">
        <f>'三表-利润表'!G10</f>
        <v>38964.302220873586</v>
      </c>
      <c r="G11" s="23">
        <f>'三表-利润表'!H10</f>
        <v>40978.96068753585</v>
      </c>
      <c r="H11" s="2"/>
      <c r="I11" s="2" t="inlineStr">
        <is>
          <r>
            <rPr>
              <i/>
              <sz val="9"/>
              <color rgb="FF595959"/>
              <rFont val="KaiTi"/>
              <family val="2"/>
            </rPr>
            <t xml:space="preserve">预测期引用三表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现金流量表。</t>
          </r>
        </is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减：资本开支</t>
          </r>
        </is>
      </c>
      <c r="B12" s="22">
        <v>42344.558</v>
      </c>
      <c r="C12" s="23">
        <f>'三表-假设'!D53</f>
        <v>50859.86865625</v>
      </c>
      <c r="D12" s="23">
        <f>'三表-假设'!E53</f>
        <v>52707.25566379709</v>
      </c>
      <c r="E12" s="23">
        <f>'三表-假设'!F53</f>
        <v>52783.66035029913</v>
      </c>
      <c r="F12" s="23">
        <f>'三表-假设'!G53</f>
        <v>50413.052828330176</v>
      </c>
      <c r="G12" s="23">
        <f>'三表-假设'!H53</f>
        <v>54045.19788753687</v>
      </c>
      <c r="H12" s="2"/>
      <c r="I12" s="2" t="inlineStr">
        <is>
          <r>
            <rPr>
              <i/>
              <sz val="9"/>
              <color rgb="FF595959"/>
              <rFont val="KaiTi"/>
              <family val="2"/>
            </rPr>
            <t xml:space="preserve">预测期引用三表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现金流量表。</t>
          </r>
        </is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减：营运资本增加</t>
          </r>
        </is>
      </c>
      <c r="B13" s="22">
        <v>17606.905999999988</v>
      </c>
      <c r="C13" s="23">
        <f>'三表-假设'!D50</f>
        <v>1468.0501102936105</v>
      </c>
      <c r="D13" s="23">
        <f>'三表-假设'!E50</f>
        <v>1517.6458698645001</v>
      </c>
      <c r="E13" s="23">
        <f>'三表-假设'!F50</f>
        <v>1513.2016299853858</v>
      </c>
      <c r="F13" s="23">
        <f>'三表-假设'!G50</f>
        <v>1241.737300658191</v>
      </c>
      <c r="G13" s="23">
        <f>'三表-假设'!H50</f>
        <v>1069.6801966507337</v>
      </c>
      <c r="H13" s="2"/>
      <c r="I13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经营营运资本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应收账款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存货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应付账款；预测期引用三表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假设的辅助计算。</t>
          </r>
        </is>
      </c>
    </row>
    <row r="14" ht="20" customHeight="1">
      <c r="A14" s="19" t="inlineStr">
        <is>
          <r>
            <rPr>
              <b/>
              <sz val="12"/>
              <rFont val="KaiTi"/>
              <family val="2"/>
            </rPr>
            <t xml:space="preserve">无杠杆自由现金流（</t>
          </r>
          <r>
            <rPr>
              <b/>
              <sz val="12"/>
              <rFont val="Arial"/>
              <family val="2"/>
            </rPr>
            <t xml:space="preserve">FCFF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4" s="24">
        <f>B10+B11-B12-B13</f>
        <v>27187.909285486</v>
      </c>
      <c r="C14" s="24">
        <f>C10+C11-C12-C13</f>
        <v>49714.79139437536</v>
      </c>
      <c r="D14" s="24">
        <f>D10+D11-D12-D13</f>
        <v>61808.11455589308</v>
      </c>
      <c r="E14" s="24">
        <f>E10+E11-E12-E13</f>
        <v>75384.95954507255</v>
      </c>
      <c r="F14" s="24">
        <f>F10+F11-F12-F13</f>
        <v>89169.36621192878</v>
      </c>
      <c r="G14" s="24">
        <f>G10+G11-G12-G13</f>
        <v>95304.1635450623</v>
      </c>
      <c r="H14" s="2"/>
      <c r="I14" s="2" t="inlineStr">
        <is>
          <r>
            <rPr>
              <i/>
              <sz val="9"/>
              <color rgb="FF595959"/>
              <rFont val="Arial"/>
              <family val="2"/>
            </rPr>
            <t xml:space="preserve">FCFF = NOPAT + </t>
          </r>
          <r>
            <rPr>
              <i/>
              <sz val="9"/>
              <color rgb="FF595959"/>
              <rFont val="KaiTi"/>
              <family val="2"/>
            </rPr>
            <t xml:space="preserve">折旧摊销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资本开支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营运资本增加。</t>
          </r>
        </is>
      </c>
    </row>
    <row r="15" ht="20" customHeight="1"/>
    <row r="16" ht="20" customHeight="1">
      <c r="A16" s="12" t="inlineStr">
        <is>
          <r>
            <rPr>
              <sz val="12"/>
              <rFont val="KaiTi"/>
              <family val="2"/>
            </rPr>
            <t xml:space="preserve">折现期（年，年中折现）</t>
          </r>
        </is>
      </c>
      <c r="B16" s="12"/>
      <c r="C16" s="22">
        <v>0.5</v>
      </c>
      <c r="D16" s="22">
        <v>1.5</v>
      </c>
      <c r="E16" s="22">
        <v>2.5</v>
      </c>
      <c r="F16" s="22">
        <v>3.5</v>
      </c>
      <c r="G16" s="22">
        <v>4.5</v>
      </c>
    </row>
    <row r="17" ht="20" customHeight="1">
      <c r="A17" s="12" t="inlineStr">
        <is>
          <r>
            <rPr>
              <sz val="12"/>
              <rFont val="KaiTi"/>
              <family val="2"/>
            </rPr>
            <t xml:space="preserve">折现系数</t>
          </r>
        </is>
      </c>
      <c r="B17" s="12"/>
      <c r="C17" s="26">
        <f>1/(1+$B$21)^C16</f>
        <v>0.9608724069699504</v>
      </c>
      <c r="D17" s="26">
        <f>1/(1+$B$21)^D16</f>
        <v>0.8871502234049953</v>
      </c>
      <c r="E17" s="26">
        <f>1/(1+$B$21)^E16</f>
        <v>0.8190843166882054</v>
      </c>
      <c r="F17" s="26">
        <f>1/(1+$B$21)^F16</f>
        <v>0.7562407134043074</v>
      </c>
      <c r="G17" s="26">
        <f>1/(1+$B$21)^G16</f>
        <v>0.698218736408741</v>
      </c>
      <c r="H17" s="2"/>
      <c r="I17" s="2" t="inlineStr">
        <is>
          <r>
            <rPr>
              <i/>
              <sz val="9"/>
              <color rgb="FF595959"/>
              <rFont val="KaiTi"/>
              <family val="2"/>
            </rPr>
            <t xml:space="preserve">年中折现：</t>
          </r>
          <r>
            <rPr>
              <i/>
              <sz val="9"/>
              <color rgb="FF595959"/>
              <rFont val="Arial"/>
              <family val="2"/>
            </rPr>
            <t xml:space="preserve">1 / (1 + WACC) ^ </t>
          </r>
          <r>
            <rPr>
              <i/>
              <sz val="9"/>
              <color rgb="FF595959"/>
              <rFont val="KaiTi"/>
              <family val="2"/>
            </rPr>
            <t xml:space="preserve">折现期。</t>
          </r>
        </is>
      </c>
    </row>
    <row r="18" ht="20" customHeight="1">
      <c r="A18" s="19" t="inlineStr">
        <is>
          <r>
            <rPr>
              <b/>
              <sz val="12"/>
              <rFont val="Arial"/>
              <family val="2"/>
            </rPr>
            <t xml:space="preserve">FCFF </t>
          </r>
          <r>
            <rPr>
              <b/>
              <sz val="12"/>
              <rFont val="KaiTi"/>
              <family val="2"/>
            </rPr>
            <t xml:space="preserve">现值</t>
          </r>
        </is>
      </c>
      <c r="B18" s="19"/>
      <c r="C18" s="24">
        <f>C14*C17</f>
        <v>47769.571269122425</v>
      </c>
      <c r="D18" s="24">
        <f>D14*D17</f>
        <v>54833.082636502084</v>
      </c>
      <c r="E18" s="24">
        <f>E14*E17</f>
        <v>61746.63807754375</v>
      </c>
      <c r="F18" s="24">
        <f>F14*F17</f>
        <v>67433.50511791896</v>
      </c>
      <c r="G18" s="24">
        <f>G14*G17</f>
        <v>66543.1526449254</v>
      </c>
    </row>
    <row r="19" ht="20" customHeight="1"/>
    <row r="20" ht="24" customHeight="1">
      <c r="A20" s="3" t="inlineStr">
        <is>
          <r>
            <rPr>
              <b/>
              <sz val="12"/>
              <color rgb="FFFFFFFF"/>
              <rFont val="KaiTi"/>
              <family val="2"/>
            </rPr>
            <t xml:space="preserve">估值与股权桥</t>
          </r>
        </is>
      </c>
      <c r="B20" s="3" t="inlineStr">
        <is>
          <r>
            <rPr>
              <b/>
              <sz val="12"/>
              <color rgb="FFFFFFFF"/>
              <rFont val="KaiTi"/>
              <family val="2"/>
            </rPr>
            <t xml:space="preserve">百万元</t>
          </r>
        </is>
      </c>
      <c r="C20" s="2"/>
      <c r="D20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21" ht="20" customHeight="1">
      <c r="A21" s="12" t="inlineStr">
        <is>
          <r>
            <rPr>
              <sz val="12"/>
              <rFont val="Arial"/>
              <family val="2"/>
            </rPr>
            <t xml:space="preserve">WACC</t>
          </r>
          <r>
            <rPr>
              <sz val="12"/>
              <rFont val="KaiTi"/>
              <family val="2"/>
            </rPr>
            <t xml:space="preserve">（基准 </t>
          </r>
          <r>
            <rPr>
              <sz val="12"/>
              <rFont val="Arial"/>
              <family val="2"/>
            </rPr>
            <t xml:space="preserve">+ </t>
          </r>
          <r>
            <rPr>
              <sz val="12"/>
              <rFont val="KaiTi"/>
              <family val="2"/>
            </rPr>
            <t xml:space="preserve">情景调整）</t>
          </r>
        </is>
      </c>
      <c r="B21" s="13">
        <f>WACC!$B$20+'三表-假设'!$D$44</f>
        <v>0.08310000000000001</v>
      </c>
    </row>
    <row r="22" ht="20" customHeight="1">
      <c r="A22" s="12" t="inlineStr">
        <is>
          <r>
            <rPr>
              <sz val="12"/>
              <rFont val="KaiTi"/>
              <family val="2"/>
            </rPr>
            <t xml:space="preserve">永续增长率</t>
          </r>
        </is>
      </c>
      <c r="B22" s="27">
        <f>'三表-假设'!$D$40</f>
        <v>0.025</v>
      </c>
    </row>
    <row r="23" ht="20" customHeight="1">
      <c r="A23" s="12" t="inlineStr">
        <is>
          <r>
            <rPr>
              <sz val="12"/>
              <rFont val="KaiTi"/>
              <family val="2"/>
            </rPr>
            <t xml:space="preserve">预测期 </t>
          </r>
          <r>
            <rPr>
              <sz val="12"/>
              <rFont val="Arial"/>
              <family val="2"/>
            </rPr>
            <t xml:space="preserve">FCFF </t>
          </r>
          <r>
            <rPr>
              <sz val="12"/>
              <rFont val="KaiTi"/>
              <family val="2"/>
            </rPr>
            <t xml:space="preserve">现值合计</t>
          </r>
        </is>
      </c>
      <c r="B23" s="15">
        <f>SUM(C18:G18)</f>
        <v>298325.94974601263</v>
      </c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终值（永续增长法）</t>
          </r>
        </is>
      </c>
      <c r="B24" s="15">
        <f>G14*(1+B22)/(B21-B22)</f>
        <v>1681355.725192579</v>
      </c>
      <c r="C24" s="2"/>
      <c r="D24" s="2" t="inlineStr">
        <is>
          <r>
            <rPr>
              <i/>
              <sz val="9"/>
              <color rgb="FF595959"/>
              <rFont val="Arial"/>
              <family val="2"/>
            </rPr>
            <t xml:space="preserve">Gordon </t>
          </r>
          <r>
            <rPr>
              <i/>
              <sz val="9"/>
              <color rgb="FF595959"/>
              <rFont val="KaiTi"/>
              <family val="2"/>
            </rPr>
            <t xml:space="preserve">增长模型：末年 </t>
          </r>
          <r>
            <rPr>
              <i/>
              <sz val="9"/>
              <color rgb="FF595959"/>
              <rFont val="Arial"/>
              <family val="2"/>
            </rPr>
            <t xml:space="preserve">FCFF × (1 + g) / (WACC − g)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25" ht="20" customHeight="1">
      <c r="A25" s="12" t="inlineStr">
        <is>
          <r>
            <rPr>
              <sz val="12"/>
              <rFont val="KaiTi"/>
              <family val="2"/>
            </rPr>
            <t xml:space="preserve">终值现值</t>
          </r>
        </is>
      </c>
      <c r="B25" s="15">
        <f>B24/(1+B21)^COUNT(C16:G16)</f>
        <v>1128020.0728146425</v>
      </c>
    </row>
    <row r="26" ht="20" customHeight="1">
      <c r="A26" s="19" t="inlineStr">
        <is>
          <r>
            <rPr>
              <b/>
              <sz val="12"/>
              <rFont val="KaiTi"/>
              <family val="2"/>
            </rPr>
            <t xml:space="preserve">企业价值（</t>
          </r>
          <r>
            <rPr>
              <b/>
              <sz val="12"/>
              <rFont val="Arial"/>
              <family val="2"/>
            </rPr>
            <t xml:space="preserve">EV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26" s="24">
        <f>B23+B25</f>
        <v>1426346.0225606551</v>
      </c>
      <c r="C26" s="2"/>
      <c r="D26" s="2" t="inlineStr">
        <is>
          <r>
            <rPr>
              <i/>
              <sz val="9"/>
              <color rgb="FF595959"/>
              <rFont val="KaiTi"/>
              <family val="2"/>
            </rPr>
            <t xml:space="preserve">企业价值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预测期 </t>
          </r>
          <r>
            <rPr>
              <i/>
              <sz val="9"/>
              <color rgb="FF595959"/>
              <rFont val="Arial"/>
              <family val="2"/>
            </rPr>
            <t xml:space="preserve">FCFF </t>
          </r>
          <r>
            <rPr>
              <i/>
              <sz val="9"/>
              <color rgb="FF595959"/>
              <rFont val="KaiTi"/>
              <family val="2"/>
            </rPr>
            <t xml:space="preserve">现值合计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终值现值。</t>
          </r>
        </is>
      </c>
    </row>
    <row r="27" ht="20" customHeight="1">
      <c r="A27" s="12" t="inlineStr">
        <is>
          <r>
            <rPr>
              <sz val="12"/>
              <rFont val="KaiTi"/>
              <family val="2"/>
            </rPr>
            <t xml:space="preserve">终值占 </t>
          </r>
          <r>
            <rPr>
              <sz val="12"/>
              <rFont val="Arial"/>
              <family val="2"/>
            </rPr>
            <t xml:space="preserve">EV</t>
          </r>
        </is>
      </c>
      <c r="B27" s="14">
        <f>B25/B26</f>
        <v>0.7908460184083232</v>
      </c>
    </row>
    <row r="28" ht="20" customHeight="1">
      <c r="A28" s="12" t="inlineStr">
        <is>
          <r>
            <rPr>
              <sz val="12"/>
              <rFont val="KaiTi"/>
              <family val="2"/>
            </rPr>
            <t xml:space="preserve">加：货币资金</t>
          </r>
        </is>
      </c>
      <c r="B28" s="22">
        <v>333512.927</v>
      </c>
    </row>
    <row r="29" ht="20" customHeight="1">
      <c r="A29" s="12" t="inlineStr">
        <is>
          <r>
            <rPr>
              <sz val="12"/>
              <rFont val="KaiTi"/>
              <family val="2"/>
            </rPr>
            <t xml:space="preserve">加：非经营性资产</t>
          </r>
        </is>
      </c>
      <c r="B29" s="23">
        <f>'非经营性资产'!$B$9</f>
        <v>143056.966</v>
      </c>
    </row>
    <row r="30" ht="20" customHeight="1">
      <c r="A30" s="12" t="inlineStr">
        <is>
          <r>
            <rPr>
              <sz val="12"/>
              <rFont val="KaiTi"/>
              <family val="2"/>
            </rPr>
            <t xml:space="preserve">加：联营投资</t>
          </r>
        </is>
      </c>
      <c r="B30" s="22">
        <v>0.0</v>
      </c>
    </row>
    <row r="31" ht="20" customHeight="1">
      <c r="A31" s="12" t="inlineStr">
        <is>
          <r>
            <rPr>
              <sz val="12"/>
              <rFont val="KaiTi"/>
              <family val="2"/>
            </rPr>
            <t xml:space="preserve">减：有息负债</t>
          </r>
        </is>
      </c>
      <c r="B31" s="22">
        <v>116851.40699999999</v>
      </c>
    </row>
    <row r="32" ht="20" customHeight="1">
      <c r="A32" s="12" t="inlineStr">
        <is>
          <r>
            <rPr>
              <sz val="12"/>
              <rFont val="KaiTi"/>
              <family val="2"/>
            </rPr>
            <t xml:space="preserve">减：租赁负债</t>
          </r>
        </is>
      </c>
      <c r="B32" s="22">
        <v>2805.081</v>
      </c>
    </row>
    <row r="33" ht="20" customHeight="1">
      <c r="A33" s="12" t="inlineStr">
        <is>
          <r>
            <rPr>
              <sz val="12"/>
              <rFont val="KaiTi"/>
              <family val="2"/>
            </rPr>
            <t xml:space="preserve">减：少数股东权益</t>
          </r>
        </is>
      </c>
      <c r="B33" s="22">
        <v>33918.577</v>
      </c>
    </row>
    <row r="34" ht="20" customHeight="1">
      <c r="A34" s="12" t="inlineStr">
        <is>
          <r>
            <rPr>
              <sz val="12"/>
              <rFont val="KaiTi"/>
              <family val="2"/>
            </rPr>
            <t xml:space="preserve">减：养老金、优先股、期权及其他类债务</t>
          </r>
        </is>
      </c>
      <c r="B34" s="22">
        <v>0.0</v>
      </c>
    </row>
    <row r="35" ht="20" customHeight="1">
      <c r="A35" s="19" t="inlineStr">
        <is>
          <r>
            <rPr>
              <b/>
              <sz val="12"/>
              <rFont val="KaiTi"/>
              <family val="2"/>
            </rPr>
            <t xml:space="preserve">股权价值</t>
          </r>
        </is>
      </c>
      <c r="B35" s="24">
        <f>B26+B28+B29+B30-B31-B32-B33-B34</f>
        <v>1749340.8505606554</v>
      </c>
      <c r="C35" s="2"/>
      <c r="D35" s="2" t="inlineStr">
        <is>
          <r>
            <rPr>
              <i/>
              <sz val="9"/>
              <color rgb="FF595959"/>
              <rFont val="KaiTi"/>
              <family val="2"/>
            </rPr>
            <t xml:space="preserve">股权价值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企业价值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货币资金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非经营性资产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联营投资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有息负债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租赁负债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少数股东权益等。</t>
          </r>
        </is>
      </c>
    </row>
    <row r="36" ht="20" customHeight="1">
      <c r="A36" s="12" t="inlineStr">
        <is>
          <r>
            <rPr>
              <sz val="12"/>
              <rFont val="KaiTi"/>
              <family val="2"/>
            </rPr>
            <t xml:space="preserve">摊薄股本（百万股）</t>
          </r>
        </is>
      </c>
      <c r="B36" s="22">
        <v>4563.803488</v>
      </c>
    </row>
    <row r="37" ht="20" customHeight="1">
      <c r="A37" s="5" t="inlineStr">
        <is>
          <r>
            <rPr>
              <sz val="12"/>
              <rFont val="KaiTi"/>
              <family val="2"/>
            </rPr>
            <t xml:space="preserve">每股价值（元）</t>
          </r>
        </is>
      </c>
      <c r="B37" s="9">
        <f>B35/B36</f>
        <v>383.3076632594605</v>
      </c>
      <c r="C37" s="2"/>
      <c r="D37" s="2" t="inlineStr">
        <is>
          <r>
            <rPr>
              <i/>
              <sz val="9"/>
              <color rgb="FF595959"/>
              <rFont val="KaiTi"/>
              <family val="2"/>
            </rPr>
            <t xml:space="preserve">每股价值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股权价值（百万元）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摊薄股本（百万股）。</t>
          </r>
        </is>
      </c>
    </row>
    <row r="38" ht="20" customHeight="1">
      <c r="A38" s="12" t="inlineStr">
        <is>
          <r>
            <rPr>
              <sz val="12"/>
              <rFont val="KaiTi"/>
              <family val="2"/>
            </rPr>
            <t xml:space="preserve">参考股价（元）</t>
          </r>
        </is>
      </c>
      <c r="B38" s="25">
        <v>291.11</v>
      </c>
    </row>
    <row r="39" ht="20" customHeight="1">
      <c r="A39" s="12" t="inlineStr">
        <is>
          <r>
            <rPr>
              <sz val="12"/>
              <rFont val="KaiTi"/>
              <family val="2"/>
            </rPr>
            <t xml:space="preserve">较现价空间</t>
          </r>
        </is>
      </c>
      <c r="B39" s="14">
        <f>B37/B38-1</f>
        <v>0.3167107391002044</v>
      </c>
    </row>
  </sheetData>
  <pageMargins left="0.5" right="0.5" top="0.6" bottom="0.6" header="0.3" footer="0.3"/>
  <pageSetup paperSize="9" orientation="landscape" fitToWidth="1" fitToHeight="0"/>
</worksheet>
</file>

<file path=xl/worksheets/sheet4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22.0" customWidth="1"/>
    <col min="2" max="2" width="12.0" customWidth="1"/>
    <col min="3" max="3" width="36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Arial"/>
              <family val="2"/>
            </rPr>
            <t xml:space="preserve">WACC </t>
          </r>
          <r>
            <rPr>
              <b/>
              <sz val="14"/>
              <color rgb="FF1F3864"/>
              <rFont val="KaiTi"/>
              <family val="2"/>
            </rPr>
            <t xml:space="preserve">测算（基准情景）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蓝色为估值假设文件输入，黑色为公式；各情景在基准 </t>
          </r>
          <r>
            <rPr>
              <i/>
              <sz val="9"/>
              <color rgb="FF595959"/>
              <rFont val="Arial"/>
              <family val="2"/>
            </rPr>
            <t xml:space="preserve">WACC </t>
          </r>
          <r>
            <rPr>
              <i/>
              <sz val="9"/>
              <color rgb="FF595959"/>
              <rFont val="KaiTi"/>
              <family val="2"/>
            </rPr>
            <t xml:space="preserve">上加情景调整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" s="3" t="inlineStr">
        <is>
          <r>
            <rPr>
              <b/>
              <sz val="12"/>
              <color rgb="FFFFFFFF"/>
              <rFont val="KaiTi"/>
              <family val="2"/>
            </rPr>
            <t xml:space="preserve">数值</t>
          </r>
        </is>
      </c>
      <c r="C4" s="3" t="inlineStr">
        <is>
          <r>
            <rPr>
              <b/>
              <sz val="12"/>
              <color rgb="FFFFFFFF"/>
              <rFont val="KaiTi"/>
              <family val="2"/>
            </rPr>
            <t xml:space="preserve">说明</t>
          </r>
        </is>
      </c>
    </row>
    <row r="5" ht="20" customHeight="1">
      <c r="A5" s="12" t="inlineStr">
        <is>
          <r>
            <rPr>
              <sz val="12"/>
              <rFont val="KaiTi"/>
              <family val="2"/>
            </rPr>
            <t xml:space="preserve">无风险利率</t>
          </r>
        </is>
      </c>
      <c r="B5" s="28">
        <v>0.018</v>
      </c>
      <c r="C5" s="12" t="inlineStr">
        <is>
          <r>
            <rPr>
              <sz val="12"/>
              <rFont val="Arial"/>
              <family val="2"/>
            </rPr>
            <t xml:space="preserve">10 </t>
          </r>
          <r>
            <rPr>
              <sz val="12"/>
              <rFont val="KaiTi"/>
              <family val="2"/>
            </rPr>
            <t xml:space="preserve">年期国债收益率</t>
          </r>
        </is>
      </c>
    </row>
    <row r="6" ht="20" customHeight="1">
      <c r="A6" s="12" t="inlineStr">
        <is>
          <t xml:space="preserve">β</t>
        </is>
      </c>
      <c r="B6" s="25">
        <v>1.1</v>
      </c>
      <c r="C6" s="12" t="inlineStr">
        <is>
          <r>
            <rPr>
              <sz val="12"/>
              <rFont val="KaiTi"/>
              <family val="2"/>
            </rPr>
            <t xml:space="preserve">可比公司均值</t>
          </r>
        </is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股权风险溢价</t>
          </r>
        </is>
      </c>
      <c r="B7" s="28">
        <v>0.065</v>
      </c>
      <c r="C7" s="12"/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规模溢价</t>
          </r>
        </is>
      </c>
      <c r="B8" s="28">
        <v>0.0</v>
      </c>
      <c r="C8" s="12"/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公司特定风险溢价</t>
          </r>
        </is>
      </c>
      <c r="B9" s="28">
        <v>0.0</v>
      </c>
      <c r="C9" s="12"/>
    </row>
    <row r="10" ht="20" customHeight="1">
      <c r="A10" s="12" t="inlineStr">
        <is>
          <r>
            <rPr>
              <sz val="12"/>
              <rFont val="KaiTi"/>
              <family val="2"/>
            </rPr>
            <t xml:space="preserve">国别风险溢价</t>
          </r>
        </is>
      </c>
      <c r="B10" s="28">
        <v>0.0</v>
      </c>
      <c r="C10" s="12"/>
    </row>
    <row r="11" ht="20" customHeight="1">
      <c r="A11" s="19" t="inlineStr">
        <is>
          <r>
            <rPr>
              <b/>
              <sz val="12"/>
              <rFont val="KaiTi"/>
              <family val="2"/>
            </rPr>
            <t xml:space="preserve">股权成本 </t>
          </r>
          <r>
            <rPr>
              <b/>
              <sz val="12"/>
              <rFont val="Arial"/>
              <family val="2"/>
            </rPr>
            <t xml:space="preserve">Ke</t>
          </r>
        </is>
      </c>
      <c r="B11" s="29">
        <f>B5+B6*B7+B8+B9+B10</f>
        <v>0.08950000000000001</v>
      </c>
      <c r="C11" s="19" t="inlineStr">
        <is>
          <r>
            <rPr>
              <b/>
              <sz val="12"/>
              <rFont val="Arial"/>
              <family val="2"/>
            </rPr>
            <t xml:space="preserve">Rf + β × ERP + </t>
          </r>
          <r>
            <rPr>
              <b/>
              <sz val="12"/>
              <rFont val="KaiTi"/>
              <family val="2"/>
            </rPr>
            <t xml:space="preserve">各项溢价</t>
          </r>
        </is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税前债务成本</t>
          </r>
        </is>
      </c>
      <c r="B12" s="28">
        <v>0.03</v>
      </c>
      <c r="C12" s="12"/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边际税率</t>
          </r>
        </is>
      </c>
      <c r="B13" s="30">
        <v>0.15</v>
      </c>
      <c r="C13" s="12"/>
    </row>
    <row r="14" ht="20" customHeight="1">
      <c r="A14" s="19" t="inlineStr">
        <is>
          <r>
            <rPr>
              <b/>
              <sz val="12"/>
              <rFont val="KaiTi"/>
              <family val="2"/>
            </rPr>
            <t xml:space="preserve">税后债务成本 </t>
          </r>
          <r>
            <rPr>
              <b/>
              <sz val="12"/>
              <rFont val="Arial"/>
              <family val="2"/>
            </rPr>
            <t xml:space="preserve">Kd</t>
          </r>
        </is>
      </c>
      <c r="B14" s="29">
        <f>B12*(1-B13)</f>
        <v>0.0255</v>
      </c>
      <c r="C14" s="19" t="inlineStr">
        <is>
          <r>
            <rPr>
              <b/>
              <sz val="12"/>
              <rFont val="KaiTi"/>
              <family val="2"/>
            </rPr>
            <t xml:space="preserve">税前债务成本 </t>
          </r>
          <r>
            <rPr>
              <b/>
              <sz val="12"/>
              <rFont val="Arial"/>
              <family val="2"/>
            </rPr>
            <t xml:space="preserve">× (1 − </t>
          </r>
          <r>
            <rPr>
              <b/>
              <sz val="12"/>
              <rFont val="KaiTi"/>
              <family val="2"/>
            </rPr>
            <t xml:space="preserve">税率</t>
          </r>
          <r>
            <rPr>
              <b/>
              <sz val="12"/>
              <rFont val="Arial"/>
              <family val="2"/>
            </rPr>
            <t xml:space="preserve">)</t>
          </r>
        </is>
      </c>
    </row>
    <row r="15" ht="20" customHeight="1">
      <c r="A15" s="12" t="inlineStr">
        <is>
          <r>
            <rPr>
              <sz val="12"/>
              <rFont val="KaiTi"/>
              <family val="2"/>
            </rPr>
            <t xml:space="preserve">目标债务占比</t>
          </r>
        </is>
      </c>
      <c r="B15" s="30">
        <v>0.1</v>
      </c>
      <c r="C15" s="12"/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目标股权占比</t>
          </r>
        </is>
      </c>
      <c r="B16" s="30">
        <v>0.9</v>
      </c>
      <c r="C16" s="12"/>
    </row>
    <row r="17" ht="20" customHeight="1">
      <c r="A17" s="12" t="inlineStr">
        <is>
          <r>
            <rPr>
              <sz val="12"/>
              <rFont val="KaiTi"/>
              <family val="2"/>
            </rPr>
            <t xml:space="preserve">优先股占比</t>
          </r>
        </is>
      </c>
      <c r="B17" s="30">
        <v>0.0</v>
      </c>
      <c r="C17" s="12"/>
    </row>
    <row r="18" ht="20" customHeight="1">
      <c r="A18" s="12" t="inlineStr">
        <is>
          <r>
            <rPr>
              <sz val="12"/>
              <rFont val="KaiTi"/>
              <family val="2"/>
            </rPr>
            <t xml:space="preserve">优先股成本</t>
          </r>
        </is>
      </c>
      <c r="B18" s="28">
        <v>0.0</v>
      </c>
      <c r="C18" s="12"/>
    </row>
    <row r="19" ht="20" customHeight="1">
      <c r="A19" s="12" t="inlineStr">
        <is>
          <r>
            <rPr>
              <sz val="12"/>
              <rFont val="KaiTi"/>
              <family val="2"/>
            </rPr>
            <t xml:space="preserve">情景调整（基准）</t>
          </r>
        </is>
      </c>
      <c r="B19" s="28">
        <v>0.0</v>
      </c>
      <c r="C19" s="12"/>
    </row>
    <row r="20" ht="20" customHeight="1">
      <c r="A20" s="5" t="inlineStr">
        <is>
          <t xml:space="preserve">WACC</t>
        </is>
      </c>
      <c r="B20" s="6">
        <f>B16*B11+B15*B14+B17*B18+B19</f>
        <v>0.08310000000000001</v>
      </c>
      <c r="C20" s="5" t="inlineStr">
        <is>
          <r>
            <rPr>
              <sz val="12"/>
              <rFont val="Arial"/>
              <family val="2"/>
            </rPr>
            <t xml:space="preserve">E% × Ke + D% × Kd + P% × Kp + </t>
          </r>
          <r>
            <rPr>
              <sz val="12"/>
              <rFont val="KaiTi"/>
              <family val="2"/>
            </rPr>
            <t xml:space="preserve">情景调整</t>
          </r>
        </is>
      </c>
    </row>
  </sheetData>
  <pageMargins left="0.5" right="0.5" top="0.6" bottom="0.6" header="0.3" footer="0.3"/>
  <pageSetup paperSize="9" orientation="landscape" fitToWidth="1" fitToHeight="0"/>
</worksheet>
</file>

<file path=xl/worksheets/sheet5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3" topLeftCell="B4" activePane="bottomRight" state="frozen"/>
      <selection pane="bottomRight" activeCell="B4" sqref="B4"/>
    </sheetView>
  </sheetViews>
  <sheetFormatPr defaultRowHeight="16"/>
  <cols>
    <col min="1" max="1" width="30.0" customWidth="1"/>
    <col min="2" max="2" width="10.0" customWidth="1"/>
    <col min="3" max="3" width="10.0" customWidth="1"/>
    <col min="4" max="4" width="10.0" customWidth="1"/>
    <col min="5" max="5" width="10.0" customWidth="1"/>
    <col min="6" max="6" width="1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Arial"/>
              <family val="2"/>
            </rPr>
            <t xml:space="preserve">DCF </t>
          </r>
          <r>
            <rPr>
              <b/>
              <sz val="14"/>
              <color rgb="FF1F3864"/>
              <rFont val="KaiTi"/>
              <family val="2"/>
            </rPr>
            <t xml:space="preserve">敏感性分析（基准情景，每股价值，元）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黄色为基准情景；</t>
          </r>
          <r>
            <rPr>
              <i/>
              <sz val="9"/>
              <color rgb="FF595959"/>
              <rFont val="Arial"/>
              <family val="2"/>
            </rPr>
            <t xml:space="preserve">WACC</t>
          </r>
          <r>
            <rPr>
              <i/>
              <sz val="9"/>
              <color rgb="FF595959"/>
              <rFont val="KaiTi"/>
              <family val="2"/>
            </rPr>
            <t xml:space="preserve">、永续增长率与退出倍数为绝对值，收入增速与利润率为相对基准的变动</t>
          </r>
        </is>
      </c>
    </row>
    <row r="3" ht="20" customHeight="1"/>
    <row r="4" ht="20" customHeight="1">
      <c r="A4" s="31" t="inlineStr">
        <is>
          <r>
            <rPr>
              <b/>
              <sz val="12"/>
              <rFont val="Arial"/>
              <family val="2"/>
            </rPr>
            <t xml:space="preserve">WACC × </t>
          </r>
          <r>
            <rPr>
              <b/>
              <sz val="12"/>
              <rFont val="KaiTi"/>
              <family val="2"/>
            </rPr>
            <t xml:space="preserve">永续增长率</t>
          </r>
        </is>
      </c>
      <c r="B4" s="31"/>
      <c r="C4" s="31"/>
      <c r="D4" s="31"/>
      <c r="E4" s="31"/>
      <c r="F4" s="31"/>
    </row>
    <row r="5" ht="24" customHeight="1">
      <c r="A5" s="3" t="inlineStr">
        <is>
          <r>
            <rPr>
              <b/>
              <sz val="12"/>
              <color rgb="FFFFFFFF"/>
              <rFont val="Arial"/>
              <family val="2"/>
            </rPr>
            <t xml:space="preserve">WACC ↓ </t>
          </r>
          <r>
            <rPr>
              <b/>
              <sz val="12"/>
              <color rgb="FFFFFFFF"/>
              <rFont val="KaiTi"/>
              <family val="2"/>
            </rPr>
            <t xml:space="preserve">／ 永续增长率 </t>
          </r>
          <r>
            <rPr>
              <b/>
              <sz val="12"/>
              <color rgb="FFFFFFFF"/>
              <rFont val="Arial"/>
              <family val="2"/>
            </rPr>
            <t xml:space="preserve">→</t>
          </r>
        </is>
      </c>
      <c r="B5" s="32">
        <v>0.015000000000000001</v>
      </c>
      <c r="C5" s="32">
        <v>0.02</v>
      </c>
      <c r="D5" s="32">
        <v>0.025</v>
      </c>
      <c r="E5" s="32">
        <v>0.030000000000000002</v>
      </c>
      <c r="F5" s="32">
        <v>0.035</v>
      </c>
    </row>
    <row r="6" ht="20" customHeight="1">
      <c r="A6" s="33">
        <v>0.07310000000000001</v>
      </c>
      <c r="B6" s="16">
        <v>394.15838154829044</v>
      </c>
      <c r="C6" s="16">
        <v>419.68089900241023</v>
      </c>
      <c r="D6" s="16">
        <v>450.5095531413781</v>
      </c>
      <c r="E6" s="16">
        <v>488.4910272661853</v>
      </c>
      <c r="F6" s="16">
        <v>536.4413922373988</v>
      </c>
    </row>
    <row r="7" ht="20" customHeight="1">
      <c r="A7" s="33">
        <v>0.0781</v>
      </c>
      <c r="B7" s="16">
        <v>367.5899802197859</v>
      </c>
      <c r="C7" s="16">
        <v>388.67205097852656</v>
      </c>
      <c r="D7" s="16">
        <v>413.72437988392284</v>
      </c>
      <c r="E7" s="16">
        <v>443.98509317713524</v>
      </c>
      <c r="F7" s="16">
        <v>481.2668536381464</v>
      </c>
    </row>
    <row r="8" ht="20" customHeight="1">
      <c r="A8" s="33">
        <v>0.08310000000000001</v>
      </c>
      <c r="B8" s="16">
        <v>344.95571149632946</v>
      </c>
      <c r="C8" s="16">
        <v>362.6121964205603</v>
      </c>
      <c r="D8" s="9">
        <v>383.3076632594605</v>
      </c>
      <c r="E8" s="16">
        <v>407.90058148045136</v>
      </c>
      <c r="F8" s="16">
        <v>437.60637251245896</v>
      </c>
    </row>
    <row r="9" ht="20" customHeight="1">
      <c r="A9" s="33">
        <v>0.08810000000000001</v>
      </c>
      <c r="B9" s="16">
        <v>325.44720364358204</v>
      </c>
      <c r="C9" s="16">
        <v>340.4100843115953</v>
      </c>
      <c r="D9" s="16">
        <v>357.74426144046635</v>
      </c>
      <c r="E9" s="16">
        <v>378.06194582043395</v>
      </c>
      <c r="F9" s="16">
        <v>402.20593611</v>
      </c>
    </row>
    <row r="10" ht="20" customHeight="1">
      <c r="A10" s="33">
        <v>0.0931</v>
      </c>
      <c r="B10" s="16">
        <v>308.46313577324565</v>
      </c>
      <c r="C10" s="16">
        <v>321.27307160890524</v>
      </c>
      <c r="D10" s="16">
        <v>335.96405529121074</v>
      </c>
      <c r="E10" s="16">
        <v>352.9832455792699</v>
      </c>
      <c r="F10" s="16">
        <v>372.93172851587633</v>
      </c>
    </row>
    <row r="11" ht="20" customHeight="1"/>
    <row r="12" ht="20" customHeight="1">
      <c r="A12" s="31" t="inlineStr">
        <is>
          <r>
            <rPr>
              <b/>
              <sz val="12"/>
              <rFont val="Arial"/>
              <family val="2"/>
            </rPr>
            <t xml:space="preserve">WACC × </t>
          </r>
          <r>
            <rPr>
              <b/>
              <sz val="12"/>
              <rFont val="KaiTi"/>
              <family val="2"/>
            </rPr>
            <t xml:space="preserve">退出 </t>
          </r>
          <r>
            <rPr>
              <b/>
              <sz val="12"/>
              <rFont val="Arial"/>
              <family val="2"/>
            </rPr>
            <t xml:space="preserve">EV/EBITDA </t>
          </r>
          <r>
            <rPr>
              <b/>
              <sz val="12"/>
              <rFont val="KaiTi"/>
              <family val="2"/>
            </rPr>
            <t xml:space="preserve">倍数</t>
          </r>
        </is>
      </c>
      <c r="B12" s="31"/>
      <c r="C12" s="31"/>
      <c r="D12" s="31"/>
      <c r="E12" s="31"/>
      <c r="F12" s="31"/>
    </row>
    <row r="13" ht="24" customHeight="1">
      <c r="A13" s="3" t="inlineStr">
        <is>
          <r>
            <rPr>
              <b/>
              <sz val="12"/>
              <color rgb="FFFFFFFF"/>
              <rFont val="Arial"/>
              <family val="2"/>
            </rPr>
            <t xml:space="preserve">WACC ↓ </t>
          </r>
          <r>
            <rPr>
              <b/>
              <sz val="12"/>
              <color rgb="FFFFFFFF"/>
              <rFont val="KaiTi"/>
              <family val="2"/>
            </rPr>
            <t xml:space="preserve">／ 退出 </t>
          </r>
          <r>
            <rPr>
              <b/>
              <sz val="12"/>
              <color rgb="FFFFFFFF"/>
              <rFont val="Arial"/>
              <family val="2"/>
            </rPr>
            <t xml:space="preserve">EV/EBITDA →</t>
          </r>
        </is>
      </c>
      <c r="B13" s="34">
        <v>8.0</v>
      </c>
      <c r="C13" s="34">
        <v>10.0</v>
      </c>
      <c r="D13" s="34">
        <v>12.0</v>
      </c>
      <c r="E13" s="34">
        <v>14.0</v>
      </c>
      <c r="F13" s="34">
        <v>16.0</v>
      </c>
    </row>
    <row r="14" ht="20" customHeight="1">
      <c r="A14" s="33">
        <v>0.07310000000000001</v>
      </c>
      <c r="B14" s="16">
        <v>345.4482112099331</v>
      </c>
      <c r="C14" s="16">
        <v>397.36415301477456</v>
      </c>
      <c r="D14" s="16">
        <v>449.28009481961595</v>
      </c>
      <c r="E14" s="16">
        <v>501.1960366244574</v>
      </c>
      <c r="F14" s="16">
        <v>553.1119784292989</v>
      </c>
    </row>
    <row r="15" ht="20" customHeight="1">
      <c r="A15" s="33">
        <v>0.0781</v>
      </c>
      <c r="B15" s="16">
        <v>339.8470791225843</v>
      </c>
      <c r="C15" s="16">
        <v>390.57026006055906</v>
      </c>
      <c r="D15" s="16">
        <v>441.2934409985339</v>
      </c>
      <c r="E15" s="16">
        <v>492.0166219365087</v>
      </c>
      <c r="F15" s="16">
        <v>542.7398028744835</v>
      </c>
    </row>
    <row r="16" ht="20" customHeight="1">
      <c r="A16" s="33">
        <v>0.08310000000000001</v>
      </c>
      <c r="B16" s="16">
        <v>334.3936160787134</v>
      </c>
      <c r="C16" s="16">
        <v>383.95676971021743</v>
      </c>
      <c r="D16" s="9">
        <v>433.5199233417215</v>
      </c>
      <c r="E16" s="16">
        <v>483.08307697322556</v>
      </c>
      <c r="F16" s="16">
        <v>532.6462306047296</v>
      </c>
    </row>
    <row r="17" ht="20" customHeight="1">
      <c r="A17" s="33">
        <v>0.08810000000000001</v>
      </c>
      <c r="B17" s="16">
        <v>329.0832156242491</v>
      </c>
      <c r="C17" s="16">
        <v>377.5180322438103</v>
      </c>
      <c r="D17" s="16">
        <v>425.9528488633715</v>
      </c>
      <c r="E17" s="16">
        <v>474.3876654829328</v>
      </c>
      <c r="F17" s="16">
        <v>522.8224821024941</v>
      </c>
    </row>
    <row r="18" ht="20" customHeight="1">
      <c r="A18" s="33">
        <v>0.0931</v>
      </c>
      <c r="B18" s="16">
        <v>323.9114360726744</v>
      </c>
      <c r="C18" s="16">
        <v>371.24860053690634</v>
      </c>
      <c r="D18" s="16">
        <v>418.58576500113816</v>
      </c>
      <c r="E18" s="16">
        <v>465.92292946537003</v>
      </c>
      <c r="F18" s="16">
        <v>513.2600939296019</v>
      </c>
    </row>
    <row r="19" ht="20" customHeight="1"/>
    <row r="20" ht="20" customHeight="1">
      <c r="A20" s="31" t="inlineStr">
        <is>
          <r>
            <rPr>
              <b/>
              <sz val="12"/>
              <rFont val="KaiTi"/>
              <family val="2"/>
            </rPr>
            <t xml:space="preserve">收入增速 </t>
          </r>
          <r>
            <rPr>
              <b/>
              <sz val="12"/>
              <rFont val="Arial"/>
              <family val="2"/>
            </rPr>
            <t xml:space="preserve">× EBIT </t>
          </r>
          <r>
            <rPr>
              <b/>
              <sz val="12"/>
              <rFont val="KaiTi"/>
              <family val="2"/>
            </rPr>
            <t xml:space="preserve">利润率</t>
          </r>
        </is>
      </c>
      <c r="B20" s="31"/>
      <c r="C20" s="31"/>
      <c r="D20" s="31"/>
      <c r="E20" s="31"/>
      <c r="F20" s="31"/>
    </row>
    <row r="21" ht="36" customHeight="1">
      <c r="A21" s="3" t="inlineStr">
        <is>
          <r>
            <rPr>
              <b/>
              <sz val="12"/>
              <color rgb="FFFFFFFF"/>
              <rFont val="KaiTi"/>
              <family val="2"/>
            </rPr>
            <t xml:space="preserve">收入增速变动 </t>
          </r>
          <r>
            <rPr>
              <b/>
              <sz val="12"/>
              <color rgb="FFFFFFFF"/>
              <rFont val="Arial"/>
              <family val="2"/>
            </rPr>
            <t xml:space="preserve">↓ </t>
          </r>
          <r>
            <rPr>
              <b/>
              <sz val="12"/>
              <color rgb="FFFFFFFF"/>
              <rFont val="KaiTi"/>
              <family val="2"/>
            </rPr>
            <t xml:space="preserve">／ </t>
          </r>
          <r>
            <rPr>
              <b/>
              <sz val="12"/>
              <color rgb="FFFFFFFF"/>
              <rFont val="Arial"/>
              <family val="2"/>
            </rPr>
            <t xml:space="preserve">EBIT </t>
          </r>
          <r>
            <rPr>
              <b/>
              <sz val="12"/>
              <color rgb="FFFFFFFF"/>
              <rFont val="KaiTi"/>
              <family val="2"/>
            </rPr>
            <t xml:space="preserve">利润率变动 </t>
          </r>
          <r>
            <rPr>
              <b/>
              <sz val="12"/>
              <color rgb="FFFFFFFF"/>
              <rFont val="Arial"/>
              <family val="2"/>
            </rPr>
            <t xml:space="preserve">→</t>
          </r>
        </is>
      </c>
      <c r="B21" s="35">
        <v>-0.03</v>
      </c>
      <c r="C21" s="35">
        <v>-0.015</v>
      </c>
      <c r="D21" s="35">
        <v>0.0</v>
      </c>
      <c r="E21" s="35">
        <v>0.015</v>
      </c>
      <c r="F21" s="35">
        <v>0.03</v>
      </c>
    </row>
    <row r="22" ht="20" customHeight="1">
      <c r="A22" s="36">
        <v>-0.02</v>
      </c>
      <c r="B22" s="16">
        <v>298.3704246198527</v>
      </c>
      <c r="C22" s="16">
        <v>328.9602184774903</v>
      </c>
      <c r="D22" s="16">
        <v>359.550012335128</v>
      </c>
      <c r="E22" s="16">
        <v>390.1398061927655</v>
      </c>
      <c r="F22" s="16">
        <v>420.72960005040306</v>
      </c>
    </row>
    <row r="23" ht="20" customHeight="1">
      <c r="A23" s="36">
        <v>-0.01</v>
      </c>
      <c r="B23" s="16">
        <v>307.50553869383987</v>
      </c>
      <c r="C23" s="16">
        <v>339.3691643995584</v>
      </c>
      <c r="D23" s="16">
        <v>371.23279010527693</v>
      </c>
      <c r="E23" s="16">
        <v>403.0964158109956</v>
      </c>
      <c r="F23" s="16">
        <v>434.960041516714</v>
      </c>
    </row>
    <row r="24" ht="20" customHeight="1">
      <c r="A24" s="36">
        <v>0.0</v>
      </c>
      <c r="B24" s="16">
        <v>316.9445194576327</v>
      </c>
      <c r="C24" s="16">
        <v>350.12609135854655</v>
      </c>
      <c r="D24" s="9">
        <v>383.3076632594605</v>
      </c>
      <c r="E24" s="16">
        <v>416.48923516037456</v>
      </c>
      <c r="F24" s="16">
        <v>449.6708070612883</v>
      </c>
    </row>
    <row r="25" ht="20" customHeight="1">
      <c r="A25" s="36">
        <v>0.01</v>
      </c>
      <c r="B25" s="16">
        <v>326.6950182980094</v>
      </c>
      <c r="C25" s="16">
        <v>361.23981448858</v>
      </c>
      <c r="D25" s="16">
        <v>395.78461067915066</v>
      </c>
      <c r="E25" s="16">
        <v>430.3294068697213</v>
      </c>
      <c r="F25" s="16">
        <v>464.87420306029196</v>
      </c>
    </row>
    <row r="26" ht="20" customHeight="1">
      <c r="A26" s="36">
        <v>0.02</v>
      </c>
      <c r="B26" s="16">
        <v>336.764814848411</v>
      </c>
      <c r="C26" s="16">
        <v>372.71929765947704</v>
      </c>
      <c r="D26" s="16">
        <v>408.67378047054314</v>
      </c>
      <c r="E26" s="16">
        <v>444.6282632816093</v>
      </c>
      <c r="F26" s="16">
        <v>480.58274609267534</v>
      </c>
    </row>
    <row r="27" ht="20" customHeight="1"/>
  </sheetData>
  <pageMargins left="0.5" right="0.5" top="0.6" bottom="0.6" header="0.3" footer="0.3"/>
  <pageSetup paperSize="9" orientation="landscape" fitToWidth="1" fitToHeight="0"/>
</worksheet>
</file>

<file path=xl/worksheets/sheet6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30.0" customWidth="1"/>
    <col min="2" max="2" width="12.5" customWidth="1"/>
    <col min="3" max="3" width="9.0" customWidth="1"/>
    <col min="4" max="4" width="22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股权桥：非经营性资产明细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单位：百万元；逐项核对年报原文（</t>
          </r>
          <r>
            <rPr>
              <i/>
              <sz val="9"/>
              <color rgb="FF595959"/>
              <rFont val="Arial"/>
              <family val="2"/>
            </rPr>
            <t xml:space="preserve">valuation/non_operating_assets.json</t>
          </r>
          <r>
            <rPr>
              <i/>
              <sz val="9"/>
              <color rgb="FF595959"/>
              <rFont val="KaiTi"/>
              <family val="2"/>
            </rPr>
            <t xml:space="preserve">）；负数为类负债项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" s="3" t="inlineStr">
        <is>
          <r>
            <rPr>
              <b/>
              <sz val="12"/>
              <color rgb="FFFFFFFF"/>
              <rFont val="KaiTi"/>
              <family val="2"/>
            </rPr>
            <t xml:space="preserve">百万元</t>
          </r>
        </is>
      </c>
      <c r="C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来源页</t>
          </r>
        </is>
      </c>
      <c r="D4" s="3" t="inlineStr">
        <is>
          <r>
            <rPr>
              <b/>
              <sz val="12"/>
              <color rgb="FFFFFFFF"/>
              <rFont val="KaiTi"/>
              <family val="2"/>
            </rPr>
            <t xml:space="preserve">原文数（元）</t>
          </r>
        </is>
      </c>
    </row>
    <row r="5" ht="20" customHeight="1">
      <c r="A5" s="12" t="inlineStr">
        <is>
          <r>
            <rPr>
              <sz val="12"/>
              <rFont val="KaiTi"/>
              <family val="2"/>
            </rPr>
            <t xml:space="preserve">交易性金融资产</t>
          </r>
        </is>
      </c>
      <c r="B5" s="22">
        <v>58993.528</v>
      </c>
      <c r="C5" s="12" t="inlineStr">
        <is>
          <t xml:space="preserve">p.111</t>
        </is>
      </c>
      <c r="D5" s="12" t="inlineStr">
        <is>
          <t xml:space="preserve">58,993,528</t>
        </is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长期股权投资</t>
          </r>
        </is>
      </c>
      <c r="B6" s="22">
        <v>64884.321</v>
      </c>
      <c r="C6" s="12" t="inlineStr">
        <is>
          <t xml:space="preserve">p.111</t>
        </is>
      </c>
      <c r="D6" s="12" t="inlineStr">
        <is>
          <t xml:space="preserve">64,884,321</t>
        </is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其他权益工具投资</t>
          </r>
        </is>
      </c>
      <c r="B7" s="22">
        <v>16296.853</v>
      </c>
      <c r="C7" s="12" t="inlineStr">
        <is>
          <t xml:space="preserve">p.111</t>
        </is>
      </c>
      <c r="D7" s="12" t="inlineStr">
        <is>
          <t xml:space="preserve">16,296,853</t>
        </is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其他非流动金融资产</t>
          </r>
        </is>
      </c>
      <c r="B8" s="22">
        <v>2882.264</v>
      </c>
      <c r="C8" s="12" t="inlineStr">
        <is>
          <t xml:space="preserve">p.112</t>
        </is>
      </c>
      <c r="D8" s="12" t="inlineStr">
        <is>
          <t xml:space="preserve">2,882,264</t>
        </is>
      </c>
    </row>
    <row r="9" ht="20" customHeight="1">
      <c r="A9" s="19" t="inlineStr">
        <is>
          <r>
            <rPr>
              <b/>
              <sz val="12"/>
              <rFont val="KaiTi"/>
              <family val="2"/>
            </rPr>
            <t xml:space="preserve">合计</t>
          </r>
        </is>
      </c>
      <c r="B9" s="24">
        <f>SUM(B5:B8)</f>
        <v>143056.96600000001</v>
      </c>
    </row>
  </sheetData>
  <pageMargins left="0.5" right="0.5" top="0.6" bottom="0.6" header="0.3" footer="0.3"/>
  <pageSetup paperSize="9" orientation="landscape" fitToWidth="1" fitToHeight="0"/>
</worksheet>
</file>

<file path=xl/worksheets/sheet7.xml><?xml version="1.0" encoding="utf-8"?>
<worksheet xmlns="http://schemas.openxmlformats.org/spreadsheetml/2006/main">
  <sheetPr>
    <tabColor rgb="FFC65911"/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0.0" customWidth="1"/>
    <col min="2" max="2" width="12.0" customWidth="1"/>
    <col min="3" max="3" width="12.0" customWidth="1"/>
    <col min="4" max="4" width="12.0" customWidth="1"/>
    <col min="5" max="5" width="12.0" customWidth="1"/>
    <col min="6" max="6" width="12.0" customWidth="1"/>
    <col min="7" max="7" width="12.0" customWidth="1"/>
    <col min="8" max="8" width="12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分部预测：产品量价、毛利率与费用率（驱动三表）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单位：百万元；蓝色为输入（报表值、驱动假设），黑色为公式，绿色为跨表引用；单价单位万元</t>
          </r>
          <r>
            <rPr>
              <i/>
              <sz val="9"/>
              <color rgb="FF595959"/>
              <rFont val="Arial"/>
              <family val="2"/>
            </rPr>
            <t xml:space="preserve">/GWh</t>
          </r>
          <r>
            <rPr>
              <i/>
              <sz val="9"/>
              <color rgb="FF595959"/>
              <rFont val="KaiTi"/>
              <family val="2"/>
            </rPr>
            <t xml:space="preserve">；收入增速、综合毛利率、经营费用率由</t>
          </r>
          <r>
            <rPr>
              <i/>
              <sz val="9"/>
              <color rgb="FF595959"/>
              <rFont val="Arial"/>
              <family val="2"/>
            </rPr>
            <t xml:space="preserve">“</t>
          </r>
          <r>
            <rPr>
              <i/>
              <sz val="9"/>
              <color rgb="FF595959"/>
              <rFont val="KaiTi"/>
              <family val="2"/>
            </rPr>
            <t xml:space="preserve">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假设</t>
          </r>
          <r>
            <rPr>
              <i/>
              <sz val="9"/>
              <color rgb="FF595959"/>
              <rFont val="Arial"/>
              <family val="2"/>
            </rPr>
            <t xml:space="preserve">”</t>
          </r>
          <r>
            <rPr>
              <i/>
              <sz val="9"/>
              <color rgb="FF595959"/>
              <rFont val="KaiTi"/>
              <family val="2"/>
            </rPr>
            <t xml:space="preserve">按情景开关引用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分部预测（百万元）</t>
          </r>
        </is>
      </c>
      <c r="B4" s="3" t="inlineStr">
        <is>
          <t xml:space="preserve">FY2024A</t>
        </is>
      </c>
      <c r="C4" s="3" t="inlineStr">
        <is>
          <t xml:space="preserve">FY2025A</t>
        </is>
      </c>
      <c r="D4" s="3" t="inlineStr">
        <is>
          <t xml:space="preserve">FY2026E</t>
        </is>
      </c>
      <c r="E4" s="3" t="inlineStr">
        <is>
          <t xml:space="preserve">FY2027E</t>
        </is>
      </c>
      <c r="F4" s="3" t="inlineStr">
        <is>
          <t xml:space="preserve">FY2028E</t>
        </is>
      </c>
      <c r="G4" s="3" t="inlineStr">
        <is>
          <t xml:space="preserve">FY2029E</t>
        </is>
      </c>
      <c r="H4" s="3" t="inlineStr">
        <is>
          <t xml:space="preserve">FY2030E</t>
        </is>
      </c>
    </row>
    <row r="5" ht="20" customHeight="1">
      <c r="A5" s="31" t="inlineStr">
        <is>
          <r>
            <rPr>
              <b/>
              <sz val="12"/>
              <rFont val="KaiTi"/>
              <family val="2"/>
            </rPr>
            <t xml:space="preserve">基准情景</t>
          </r>
        </is>
      </c>
      <c r="B5" s="31"/>
      <c r="C5" s="31"/>
      <c r="D5" s="31"/>
      <c r="E5" s="31"/>
      <c r="F5" s="31"/>
      <c r="G5" s="31"/>
      <c r="H5" s="31"/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动力电池：销量增速</t>
          </r>
        </is>
      </c>
      <c r="B6" s="12"/>
      <c r="C6" s="12"/>
      <c r="D6" s="30">
        <v>0.25</v>
      </c>
      <c r="E6" s="30">
        <v>0.18</v>
      </c>
      <c r="F6" s="30">
        <v>0.14</v>
      </c>
      <c r="G6" s="30">
        <v>0.1</v>
      </c>
      <c r="H6" s="30">
        <v>0.08</v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动力电池：销量（</t>
          </r>
          <r>
            <rPr>
              <sz val="12"/>
              <rFont val="Arial"/>
              <family val="2"/>
            </rPr>
            <t xml:space="preserve">GWh</t>
          </r>
          <r>
            <rPr>
              <sz val="12"/>
              <rFont val="KaiTi"/>
              <family val="2"/>
            </rPr>
            <t xml:space="preserve">）</t>
          </r>
        </is>
      </c>
      <c r="B7" s="12"/>
      <c r="C7" s="37">
        <v>541.0</v>
      </c>
      <c r="D7" s="38">
        <f>C7*(1+D6)</f>
        <v>676.25</v>
      </c>
      <c r="E7" s="38">
        <f>D7*(1+E6)</f>
        <v>797.9749999999999</v>
      </c>
      <c r="F7" s="38">
        <f>E7*(1+F6)</f>
        <v>909.6915</v>
      </c>
      <c r="G7" s="38">
        <f>F7*(1+G6)</f>
        <v>1000.6606500000001</v>
      </c>
      <c r="H7" s="38">
        <f>G7*(1+H6)</f>
        <v>1080.7135020000003</v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动力电池：单价增速</t>
          </r>
        </is>
      </c>
      <c r="B8" s="12"/>
      <c r="C8" s="12"/>
      <c r="D8" s="30">
        <v>-0.03</v>
      </c>
      <c r="E8" s="30">
        <v>-0.02</v>
      </c>
      <c r="F8" s="30">
        <v>-0.01</v>
      </c>
      <c r="G8" s="30">
        <v>-0.01</v>
      </c>
      <c r="H8" s="30">
        <v>-0.01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动力电池：单价（万元</t>
          </r>
          <r>
            <rPr>
              <sz val="12"/>
              <rFont val="Arial"/>
              <family val="2"/>
            </rPr>
            <t xml:space="preserve">/GWh</t>
          </r>
          <r>
            <rPr>
              <sz val="12"/>
              <rFont val="KaiTi"/>
              <family val="2"/>
            </rPr>
            <t xml:space="preserve">）</t>
          </r>
        </is>
      </c>
      <c r="B9" s="12"/>
      <c r="C9" s="16">
        <f>C10*100/C7</f>
        <v>58503.94990757856</v>
      </c>
      <c r="D9" s="16">
        <f>C9*(1+D8)</f>
        <v>56748.8314103512</v>
      </c>
      <c r="E9" s="16">
        <f>D9*(1+E8)</f>
        <v>55613.854782144175</v>
      </c>
      <c r="F9" s="16">
        <f>E9*(1+F8)</f>
        <v>55057.71623432273</v>
      </c>
      <c r="G9" s="16">
        <f>F9*(1+G8)</f>
        <v>54507.1390719795</v>
      </c>
      <c r="H9" s="16">
        <f>G9*(1+H8)</f>
        <v>53962.06768125971</v>
      </c>
    </row>
    <row r="10" ht="20" customHeight="1">
      <c r="A10" s="19" t="inlineStr">
        <is>
          <r>
            <rPr>
              <b/>
              <sz val="12"/>
              <rFont val="KaiTi"/>
              <family val="2"/>
            </rPr>
            <t xml:space="preserve">动力电池：收入</t>
          </r>
        </is>
      </c>
      <c r="B10" s="19"/>
      <c r="C10" s="20">
        <v>316506.369</v>
      </c>
      <c r="D10" s="24">
        <f>D7*D9/100</f>
        <v>383763.9724125</v>
      </c>
      <c r="E10" s="24">
        <f>E7*E9/100</f>
        <v>443784.6576978149</v>
      </c>
      <c r="F10" s="24">
        <f>F7*F9/100</f>
        <v>500855.364677754</v>
      </c>
      <c r="G10" s="24">
        <f>G7*G9/100</f>
        <v>545431.4921340741</v>
      </c>
      <c r="H10" s="24">
        <f>H7*H9/100</f>
        <v>583175.3513897522</v>
      </c>
    </row>
    <row r="11" ht="20" customHeight="1">
      <c r="A11" s="12" t="inlineStr">
        <is>
          <r>
            <rPr>
              <sz val="12"/>
              <rFont val="KaiTi"/>
              <family val="2"/>
            </rPr>
            <t xml:space="preserve">动力电池：毛利率变动（百分点）</t>
          </r>
        </is>
      </c>
      <c r="B11" s="12"/>
      <c r="C11" s="12"/>
      <c r="D11" s="39">
        <v>-0.3</v>
      </c>
      <c r="E11" s="39">
        <v>0.0</v>
      </c>
      <c r="F11" s="39">
        <v>0.0</v>
      </c>
      <c r="G11" s="39">
        <v>0.0</v>
      </c>
      <c r="H11" s="39">
        <v>0.0</v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动力电池：毛利率</t>
          </r>
        </is>
      </c>
      <c r="B12" s="12"/>
      <c r="C12" s="14">
        <f>1-C13/C10</f>
        <v>0.23835846412303952</v>
      </c>
      <c r="D12" s="14">
        <f>C12+D11/100</f>
        <v>0.2353584641230395</v>
      </c>
      <c r="E12" s="14">
        <f>D12+E11/100</f>
        <v>0.2353584641230395</v>
      </c>
      <c r="F12" s="14">
        <f>E12+F11/100</f>
        <v>0.2353584641230395</v>
      </c>
      <c r="G12" s="14">
        <f>F12+G11/100</f>
        <v>0.2353584641230395</v>
      </c>
      <c r="H12" s="14">
        <f>G12+H11/100</f>
        <v>0.2353584641230395</v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动力电池：营业成本</t>
          </r>
        </is>
      </c>
      <c r="B13" s="12"/>
      <c r="C13" s="22">
        <v>241064.397</v>
      </c>
      <c r="D13" s="15">
        <f>D10*(1-D12)</f>
        <v>293441.8732797375</v>
      </c>
      <c r="E13" s="15">
        <f>E10*(1-E12)</f>
        <v>339336.1822606884</v>
      </c>
      <c r="F13" s="15">
        <f>F10*(1-F12)</f>
        <v>382974.81529941293</v>
      </c>
      <c r="G13" s="15">
        <f>G10*(1-G12)</f>
        <v>417059.5738610607</v>
      </c>
      <c r="H13" s="15">
        <f>H10*(1-H12)</f>
        <v>445920.0963722463</v>
      </c>
    </row>
    <row r="14" ht="20" customHeight="1">
      <c r="A14" s="12" t="inlineStr">
        <is>
          <r>
            <rPr>
              <sz val="12"/>
              <rFont val="KaiTi"/>
              <family val="2"/>
            </rPr>
            <t xml:space="preserve">储能电池：销量增速</t>
          </r>
        </is>
      </c>
      <c r="B14" s="12"/>
      <c r="C14" s="12"/>
      <c r="D14" s="30">
        <v>0.35</v>
      </c>
      <c r="E14" s="30">
        <v>0.25</v>
      </c>
      <c r="F14" s="30">
        <v>0.2</v>
      </c>
      <c r="G14" s="30">
        <v>0.15</v>
      </c>
      <c r="H14" s="30">
        <v>0.12</v>
      </c>
    </row>
    <row r="15" ht="20" customHeight="1">
      <c r="A15" s="12" t="inlineStr">
        <is>
          <r>
            <rPr>
              <sz val="12"/>
              <rFont val="KaiTi"/>
              <family val="2"/>
            </rPr>
            <t xml:space="preserve">储能电池：销量（</t>
          </r>
          <r>
            <rPr>
              <sz val="12"/>
              <rFont val="Arial"/>
              <family val="2"/>
            </rPr>
            <t xml:space="preserve">GWh</t>
          </r>
          <r>
            <rPr>
              <sz val="12"/>
              <rFont val="KaiTi"/>
              <family val="2"/>
            </rPr>
            <t xml:space="preserve">）</t>
          </r>
        </is>
      </c>
      <c r="B15" s="12"/>
      <c r="C15" s="37">
        <v>121.0</v>
      </c>
      <c r="D15" s="38">
        <f>C15*(1+D14)</f>
        <v>163.35000000000002</v>
      </c>
      <c r="E15" s="38">
        <f>D15*(1+E14)</f>
        <v>204.18750000000003</v>
      </c>
      <c r="F15" s="38">
        <f>E15*(1+F14)</f>
        <v>245.02500000000003</v>
      </c>
      <c r="G15" s="38">
        <f>F15*(1+G14)</f>
        <v>281.77875</v>
      </c>
      <c r="H15" s="38">
        <f>G15*(1+H14)</f>
        <v>315.59220000000005</v>
      </c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储能电池：单价增速</t>
          </r>
        </is>
      </c>
      <c r="B16" s="12"/>
      <c r="C16" s="12"/>
      <c r="D16" s="30">
        <v>-0.05</v>
      </c>
      <c r="E16" s="30">
        <v>-0.03</v>
      </c>
      <c r="F16" s="30">
        <v>-0.02</v>
      </c>
      <c r="G16" s="30">
        <v>-0.01</v>
      </c>
      <c r="H16" s="30">
        <v>-0.01</v>
      </c>
    </row>
    <row r="17" ht="20" customHeight="1">
      <c r="A17" s="12" t="inlineStr">
        <is>
          <r>
            <rPr>
              <sz val="12"/>
              <rFont val="KaiTi"/>
              <family val="2"/>
            </rPr>
            <t xml:space="preserve">储能电池：单价（万元</t>
          </r>
          <r>
            <rPr>
              <sz val="12"/>
              <rFont val="Arial"/>
              <family val="2"/>
            </rPr>
            <t xml:space="preserve">/GWh</t>
          </r>
          <r>
            <rPr>
              <sz val="12"/>
              <rFont val="KaiTi"/>
              <family val="2"/>
            </rPr>
            <t xml:space="preserve">）</t>
          </r>
        </is>
      </c>
      <c r="B17" s="12"/>
      <c r="C17" s="16">
        <f>C18*100/C15</f>
        <v>51603.15702479339</v>
      </c>
      <c r="D17" s="16">
        <f>C17*(1+D16)</f>
        <v>49022.99917355372</v>
      </c>
      <c r="E17" s="16">
        <f>D17*(1+E16)</f>
        <v>47552.30919834711</v>
      </c>
      <c r="F17" s="16">
        <f>E17*(1+F16)</f>
        <v>46601.263014380165</v>
      </c>
      <c r="G17" s="16">
        <f>F17*(1+G16)</f>
        <v>46135.250384236366</v>
      </c>
      <c r="H17" s="16">
        <f>G17*(1+H16)</f>
        <v>45673.897880394004</v>
      </c>
    </row>
    <row r="18" ht="20" customHeight="1">
      <c r="A18" s="19" t="inlineStr">
        <is>
          <r>
            <rPr>
              <b/>
              <sz val="12"/>
              <rFont val="KaiTi"/>
              <family val="2"/>
            </rPr>
            <t xml:space="preserve">储能电池：收入</t>
          </r>
        </is>
      </c>
      <c r="B18" s="19"/>
      <c r="C18" s="20">
        <v>62439.82</v>
      </c>
      <c r="D18" s="24">
        <f>D15*D17/100</f>
        <v>80079.06915000001</v>
      </c>
      <c r="E18" s="24">
        <f>E15*E17/100</f>
        <v>97095.87134437502</v>
      </c>
      <c r="F18" s="24">
        <f>F15*F17/100</f>
        <v>114184.74470098501</v>
      </c>
      <c r="G18" s="24">
        <f>G15*G17/100</f>
        <v>129999.33184207143</v>
      </c>
      <c r="H18" s="24">
        <f>H15*H17/100</f>
        <v>144143.25914648882</v>
      </c>
    </row>
    <row r="19" ht="20" customHeight="1">
      <c r="A19" s="12" t="inlineStr">
        <is>
          <r>
            <rPr>
              <sz val="12"/>
              <rFont val="KaiTi"/>
              <family val="2"/>
            </rPr>
            <t xml:space="preserve">储能电池：毛利率变动（百分点）</t>
          </r>
        </is>
      </c>
      <c r="B19" s="12"/>
      <c r="C19" s="12"/>
      <c r="D19" s="39">
        <v>-0.5</v>
      </c>
      <c r="E19" s="39">
        <v>-0.3</v>
      </c>
      <c r="F19" s="39">
        <v>0.0</v>
      </c>
      <c r="G19" s="39">
        <v>0.0</v>
      </c>
      <c r="H19" s="39">
        <v>0.0</v>
      </c>
    </row>
    <row r="20" ht="20" customHeight="1">
      <c r="A20" s="12" t="inlineStr">
        <is>
          <r>
            <rPr>
              <sz val="12"/>
              <rFont val="KaiTi"/>
              <family val="2"/>
            </rPr>
            <t xml:space="preserve">储能电池：毛利率</t>
          </r>
        </is>
      </c>
      <c r="B20" s="12"/>
      <c r="C20" s="14">
        <f>1-C21/C18</f>
        <v>0.2670752574238683</v>
      </c>
      <c r="D20" s="14">
        <f>C20+D19/100</f>
        <v>0.2620752574238683</v>
      </c>
      <c r="E20" s="14">
        <f>D20+E19/100</f>
        <v>0.2590752574238683</v>
      </c>
      <c r="F20" s="14">
        <f>E20+F19/100</f>
        <v>0.2590752574238683</v>
      </c>
      <c r="G20" s="14">
        <f>F20+G19/100</f>
        <v>0.2590752574238683</v>
      </c>
      <c r="H20" s="14">
        <f>G20+H19/100</f>
        <v>0.2590752574238683</v>
      </c>
    </row>
    <row r="21" ht="20" customHeight="1">
      <c r="A21" s="12" t="inlineStr">
        <is>
          <r>
            <rPr>
              <sz val="12"/>
              <rFont val="KaiTi"/>
              <family val="2"/>
            </rPr>
            <t xml:space="preserve">储能电池：营业成本</t>
          </r>
        </is>
      </c>
      <c r="B21" s="12"/>
      <c r="C21" s="22">
        <v>45763.689</v>
      </c>
      <c r="D21" s="15">
        <f>D18*(1-D20)</f>
        <v>59092.32648825001</v>
      </c>
      <c r="E21" s="15">
        <f>E18*(1-E20)</f>
        <v>71940.73348103627</v>
      </c>
      <c r="F21" s="15">
        <f>F18*(1-F20)</f>
        <v>84602.30257369865</v>
      </c>
      <c r="G21" s="15">
        <f>G18*(1-G20)</f>
        <v>96319.7214801559</v>
      </c>
      <c r="H21" s="15">
        <f>H18*(1-H20)</f>
        <v>106799.30717719688</v>
      </c>
    </row>
    <row r="22" ht="20" customHeight="1">
      <c r="A22" s="12" t="inlineStr">
        <is>
          <r>
            <rPr>
              <sz val="12"/>
              <rFont val="KaiTi"/>
              <family val="2"/>
            </rPr>
            <t xml:space="preserve">其他业务收入（保持不变）</t>
          </r>
        </is>
      </c>
      <c r="B22" s="12"/>
      <c r="C22" s="22">
        <v>44755.64499999996</v>
      </c>
      <c r="D22" s="15">
        <f>C22</f>
        <v>44755.64499999996</v>
      </c>
      <c r="E22" s="15">
        <f>D22</f>
        <v>44755.64499999996</v>
      </c>
      <c r="F22" s="15">
        <f>E22</f>
        <v>44755.64499999996</v>
      </c>
      <c r="G22" s="15">
        <f>F22</f>
        <v>44755.64499999996</v>
      </c>
      <c r="H22" s="15">
        <f>G22</f>
        <v>44755.64499999996</v>
      </c>
    </row>
    <row r="23" ht="20" customHeight="1">
      <c r="A23" s="12" t="inlineStr">
        <is>
          <r>
            <rPr>
              <sz val="12"/>
              <rFont val="KaiTi"/>
              <family val="2"/>
            </rPr>
            <t xml:space="preserve">其他业务成本（保持不变）</t>
          </r>
        </is>
      </c>
      <c r="B23" s="12"/>
      <c r="C23" s="22">
        <v>25555.21100000001</v>
      </c>
      <c r="D23" s="15">
        <f>C23</f>
        <v>25555.21100000001</v>
      </c>
      <c r="E23" s="15">
        <f>D23</f>
        <v>25555.21100000001</v>
      </c>
      <c r="F23" s="15">
        <f>E23</f>
        <v>25555.21100000001</v>
      </c>
      <c r="G23" s="15">
        <f>F23</f>
        <v>25555.21100000001</v>
      </c>
      <c r="H23" s="15">
        <f>G23</f>
        <v>25555.21100000001</v>
      </c>
    </row>
    <row r="24" ht="20" customHeight="1">
      <c r="A24" s="19" t="inlineStr">
        <is>
          <r>
            <rPr>
              <b/>
              <sz val="12"/>
              <rFont val="KaiTi"/>
              <family val="2"/>
            </rPr>
            <t xml:space="preserve">营业收入</t>
          </r>
        </is>
      </c>
      <c r="B24" s="19"/>
      <c r="C24" s="24">
        <f>C10+C18+C22</f>
        <v>423701.834</v>
      </c>
      <c r="D24" s="24">
        <f>D10+D18+D22</f>
        <v>508598.68656249996</v>
      </c>
      <c r="E24" s="24">
        <f>E10+E18+E22</f>
        <v>585636.17404219</v>
      </c>
      <c r="F24" s="24">
        <f>F10+F18+F22</f>
        <v>659795.754378739</v>
      </c>
      <c r="G24" s="24">
        <f>G10+G18+G22</f>
        <v>720186.4689761454</v>
      </c>
      <c r="H24" s="24">
        <f>H10+H18+H22</f>
        <v>772074.2555362411</v>
      </c>
    </row>
    <row r="25" ht="20" customHeight="1">
      <c r="A25" s="12" t="inlineStr">
        <is>
          <r>
            <rPr>
              <sz val="12"/>
              <rFont val="KaiTi"/>
              <family val="2"/>
            </rPr>
            <t xml:space="preserve">营业收入增速</t>
          </r>
        </is>
      </c>
      <c r="B25" s="12"/>
      <c r="C25" s="12"/>
      <c r="D25" s="14">
        <f>D24/C24-1</f>
        <v>0.2003693299153857</v>
      </c>
      <c r="E25" s="14">
        <f>E24/D24-1</f>
        <v>0.1514700873499466</v>
      </c>
      <c r="F25" s="14">
        <f>F24/E24-1</f>
        <v>0.12663080530815463</v>
      </c>
      <c r="G25" s="14">
        <f>G24/F24-1</f>
        <v>0.09152940769415818</v>
      </c>
      <c r="H25" s="14">
        <f>H24/G24-1</f>
        <v>0.0720477109683304</v>
      </c>
    </row>
    <row r="26" ht="20" customHeight="1">
      <c r="A26" s="12" t="inlineStr">
        <is>
          <r>
            <rPr>
              <sz val="12"/>
              <rFont val="KaiTi"/>
              <family val="2"/>
            </rPr>
            <t xml:space="preserve">营业成本</t>
          </r>
        </is>
      </c>
      <c r="B26" s="12"/>
      <c r="C26" s="15">
        <f>C13+C21+C23</f>
        <v>312383.297</v>
      </c>
      <c r="D26" s="15">
        <f>D13+D21+D23</f>
        <v>378089.4107679875</v>
      </c>
      <c r="E26" s="15">
        <f>E13+E21+E23</f>
        <v>436832.12674172467</v>
      </c>
      <c r="F26" s="15">
        <f>F13+F21+F23</f>
        <v>493132.3288731116</v>
      </c>
      <c r="G26" s="15">
        <f>G13+G21+G23</f>
        <v>538934.5063412166</v>
      </c>
      <c r="H26" s="15">
        <f>H13+H21+H23</f>
        <v>578274.6145494431</v>
      </c>
    </row>
    <row r="27" ht="20" customHeight="1">
      <c r="A27" s="19" t="inlineStr">
        <is>
          <r>
            <rPr>
              <b/>
              <sz val="12"/>
              <rFont val="KaiTi"/>
              <family val="2"/>
            </rPr>
            <t xml:space="preserve">综合毛利率</t>
          </r>
        </is>
      </c>
      <c r="B27" s="19"/>
      <c r="C27" s="40">
        <f>1-C26/C24</f>
        <v>0.2627284757044501</v>
      </c>
      <c r="D27" s="40">
        <f>1-D26/D24</f>
        <v>0.25660560918195496</v>
      </c>
      <c r="E27" s="40">
        <f>1-E26/E24</f>
        <v>0.25408957625241446</v>
      </c>
      <c r="F27" s="40">
        <f>1-F26/F24</f>
        <v>0.2525985115841751</v>
      </c>
      <c r="G27" s="40">
        <f>1-G26/G24</f>
        <v>0.25167365736905056</v>
      </c>
      <c r="H27" s="40">
        <f>1-H26/H24</f>
        <v>0.2510116605975875</v>
      </c>
    </row>
    <row r="28" ht="20" customHeight="1">
      <c r="A28" s="12" t="inlineStr">
        <is>
          <r>
            <rPr>
              <sz val="12"/>
              <rFont val="KaiTi"/>
              <family val="2"/>
            </rPr>
            <t xml:space="preserve">　税金及附加率</t>
          </r>
        </is>
      </c>
      <c r="B28" s="12"/>
      <c r="C28" s="28">
        <v>0.006684705546967258</v>
      </c>
      <c r="D28" s="28">
        <v>0.006684705546967258</v>
      </c>
      <c r="E28" s="28">
        <v>0.006684705546967258</v>
      </c>
      <c r="F28" s="28">
        <v>0.006684705546967258</v>
      </c>
      <c r="G28" s="28">
        <v>0.006684705546967258</v>
      </c>
      <c r="H28" s="28">
        <v>0.006684705546967258</v>
      </c>
    </row>
    <row r="29" ht="20" customHeight="1">
      <c r="A29" s="12" t="inlineStr">
        <is>
          <r>
            <rPr>
              <sz val="12"/>
              <rFont val="KaiTi"/>
              <family val="2"/>
            </rPr>
            <t xml:space="preserve">　销售费用率</t>
          </r>
        </is>
      </c>
      <c r="B29" s="12"/>
      <c r="C29" s="28">
        <v>0.008815439774565621</v>
      </c>
      <c r="D29" s="28">
        <v>0.008815439774565621</v>
      </c>
      <c r="E29" s="28">
        <v>0.008815439774565621</v>
      </c>
      <c r="F29" s="28">
        <v>0.008815439774565621</v>
      </c>
      <c r="G29" s="28">
        <v>0.008815439774565621</v>
      </c>
      <c r="H29" s="28">
        <v>0.008815439774565621</v>
      </c>
    </row>
    <row r="30" ht="20" customHeight="1">
      <c r="A30" s="12" t="inlineStr">
        <is>
          <r>
            <rPr>
              <sz val="12"/>
              <rFont val="KaiTi"/>
              <family val="2"/>
            </rPr>
            <t xml:space="preserve">　管理费用率</t>
          </r>
        </is>
      </c>
      <c r="B30" s="12"/>
      <c r="C30" s="28">
        <v>0.02753526197859224</v>
      </c>
      <c r="D30" s="28">
        <v>0.02753526197859224</v>
      </c>
      <c r="E30" s="28">
        <v>0.02753526197859224</v>
      </c>
      <c r="F30" s="28">
        <v>0.02753526197859224</v>
      </c>
      <c r="G30" s="28">
        <v>0.02753526197859224</v>
      </c>
      <c r="H30" s="28">
        <v>0.02753526197859224</v>
      </c>
    </row>
    <row r="31" ht="20" customHeight="1">
      <c r="A31" s="12" t="inlineStr">
        <is>
          <r>
            <rPr>
              <sz val="12"/>
              <rFont val="KaiTi"/>
              <family val="2"/>
            </rPr>
            <t xml:space="preserve">　研发费用率</t>
          </r>
        </is>
      </c>
      <c r="B31" s="12"/>
      <c r="C31" s="28">
        <v>0.052269259235729434</v>
      </c>
      <c r="D31" s="28">
        <v>0.052269259235729434</v>
      </c>
      <c r="E31" s="28">
        <v>0.052269259235729434</v>
      </c>
      <c r="F31" s="28">
        <v>0.052269259235729434</v>
      </c>
      <c r="G31" s="28">
        <v>0.052269259235729434</v>
      </c>
      <c r="H31" s="28">
        <v>0.052269259235729434</v>
      </c>
    </row>
    <row r="32" ht="20" customHeight="1">
      <c r="A32" s="12" t="inlineStr">
        <is>
          <r>
            <rPr>
              <sz val="12"/>
              <rFont val="KaiTi"/>
              <family val="2"/>
            </rPr>
            <t xml:space="preserve">　其他（基期轧差：财务公司利息、折旧重分类等）</t>
          </r>
        </is>
      </c>
      <c r="B32" s="12"/>
      <c r="C32" s="28">
        <v>-0.06263616031456695</v>
      </c>
      <c r="D32" s="28">
        <v>-0.06263616031456695</v>
      </c>
      <c r="E32" s="28">
        <v>-0.06263616031456695</v>
      </c>
      <c r="F32" s="28">
        <v>-0.06263616031456695</v>
      </c>
      <c r="G32" s="28">
        <v>-0.06263616031456695</v>
      </c>
      <c r="H32" s="28">
        <v>-0.06263616031456695</v>
      </c>
    </row>
    <row r="33" ht="20" customHeight="1">
      <c r="A33" s="19" t="inlineStr">
        <is>
          <r>
            <rPr>
              <b/>
              <sz val="12"/>
              <rFont val="KaiTi"/>
              <family val="2"/>
            </rPr>
            <t xml:space="preserve">经营费用率（不含折旧摊销）</t>
          </r>
        </is>
      </c>
      <c r="B33" s="19"/>
      <c r="C33" s="29">
        <f>SUM(C28:C32)</f>
        <v>0.03266850622128759</v>
      </c>
      <c r="D33" s="29">
        <f>SUM(D28:D32)</f>
        <v>0.0326685062212876</v>
      </c>
      <c r="E33" s="29">
        <f>SUM(E28:E32)</f>
        <v>0.0326685062212876</v>
      </c>
      <c r="F33" s="29">
        <f>SUM(F28:F32)</f>
        <v>0.0326685062212876</v>
      </c>
      <c r="G33" s="29">
        <f>SUM(G28:G32)</f>
        <v>0.0326685062212876</v>
      </c>
      <c r="H33" s="29">
        <f>SUM(H28:H32)</f>
        <v>0.0326685062212876</v>
      </c>
    </row>
    <row r="34" ht="20" customHeight="1">
      <c r="A34" s="31" t="inlineStr">
        <is>
          <r>
            <rPr>
              <b/>
              <sz val="12"/>
              <rFont val="KaiTi"/>
              <family val="2"/>
            </rPr>
            <t xml:space="preserve">悲观情景</t>
          </r>
        </is>
      </c>
      <c r="B34" s="31"/>
      <c r="C34" s="31"/>
      <c r="D34" s="31"/>
      <c r="E34" s="31"/>
      <c r="F34" s="31"/>
      <c r="G34" s="31"/>
      <c r="H34" s="31"/>
    </row>
    <row r="35" ht="20" customHeight="1">
      <c r="A35" s="12" t="inlineStr">
        <is>
          <r>
            <rPr>
              <sz val="12"/>
              <rFont val="KaiTi"/>
              <family val="2"/>
            </rPr>
            <t xml:space="preserve">动力电池：销量增速</t>
          </r>
        </is>
      </c>
      <c r="B35" s="12"/>
      <c r="C35" s="12"/>
      <c r="D35" s="30">
        <v>0.15</v>
      </c>
      <c r="E35" s="30">
        <v>0.1</v>
      </c>
      <c r="F35" s="30">
        <v>0.08</v>
      </c>
      <c r="G35" s="30">
        <v>0.06</v>
      </c>
      <c r="H35" s="30">
        <v>0.05</v>
      </c>
    </row>
    <row r="36" ht="20" customHeight="1">
      <c r="A36" s="12" t="inlineStr">
        <is>
          <r>
            <rPr>
              <sz val="12"/>
              <rFont val="KaiTi"/>
              <family val="2"/>
            </rPr>
            <t xml:space="preserve">动力电池：销量（</t>
          </r>
          <r>
            <rPr>
              <sz val="12"/>
              <rFont val="Arial"/>
              <family val="2"/>
            </rPr>
            <t xml:space="preserve">GWh</t>
          </r>
          <r>
            <rPr>
              <sz val="12"/>
              <rFont val="KaiTi"/>
              <family val="2"/>
            </rPr>
            <t xml:space="preserve">）</t>
          </r>
        </is>
      </c>
      <c r="B36" s="12"/>
      <c r="C36" s="37">
        <v>541.0</v>
      </c>
      <c r="D36" s="38">
        <f>C36*(1+D35)</f>
        <v>622.15</v>
      </c>
      <c r="E36" s="38">
        <f>D36*(1+E35)</f>
        <v>684.365</v>
      </c>
      <c r="F36" s="38">
        <f>E36*(1+F35)</f>
        <v>739.1142000000001</v>
      </c>
      <c r="G36" s="38">
        <f>F36*(1+G35)</f>
        <v>783.4610520000001</v>
      </c>
      <c r="H36" s="38">
        <f>G36*(1+H35)</f>
        <v>822.6341046000001</v>
      </c>
    </row>
    <row r="37" ht="20" customHeight="1">
      <c r="A37" s="12" t="inlineStr">
        <is>
          <r>
            <rPr>
              <sz val="12"/>
              <rFont val="KaiTi"/>
              <family val="2"/>
            </rPr>
            <t xml:space="preserve">动力电池：单价增速</t>
          </r>
        </is>
      </c>
      <c r="B37" s="12"/>
      <c r="C37" s="12"/>
      <c r="D37" s="30">
        <v>-0.06</v>
      </c>
      <c r="E37" s="30">
        <v>-0.04</v>
      </c>
      <c r="F37" s="30">
        <v>-0.02</v>
      </c>
      <c r="G37" s="30">
        <v>-0.02</v>
      </c>
      <c r="H37" s="30">
        <v>-0.02</v>
      </c>
    </row>
    <row r="38" ht="20" customHeight="1">
      <c r="A38" s="12" t="inlineStr">
        <is>
          <r>
            <rPr>
              <sz val="12"/>
              <rFont val="KaiTi"/>
              <family val="2"/>
            </rPr>
            <t xml:space="preserve">动力电池：单价（万元</t>
          </r>
          <r>
            <rPr>
              <sz val="12"/>
              <rFont val="Arial"/>
              <family val="2"/>
            </rPr>
            <t xml:space="preserve">/GWh</t>
          </r>
          <r>
            <rPr>
              <sz val="12"/>
              <rFont val="KaiTi"/>
              <family val="2"/>
            </rPr>
            <t xml:space="preserve">）</t>
          </r>
        </is>
      </c>
      <c r="B38" s="12"/>
      <c r="C38" s="16">
        <f>C39*100/C36</f>
        <v>58503.94990757856</v>
      </c>
      <c r="D38" s="16">
        <f>C38*(1+D37)</f>
        <v>54993.71291312384</v>
      </c>
      <c r="E38" s="16">
        <f>D38*(1+E37)</f>
        <v>52793.96439659889</v>
      </c>
      <c r="F38" s="16">
        <f>E38*(1+F37)</f>
        <v>51738.085108666906</v>
      </c>
      <c r="G38" s="16">
        <f>F38*(1+G37)</f>
        <v>50703.32340649357</v>
      </c>
      <c r="H38" s="16">
        <f>G38*(1+H37)</f>
        <v>49689.256938363695</v>
      </c>
    </row>
    <row r="39" ht="20" customHeight="1">
      <c r="A39" s="19" t="inlineStr">
        <is>
          <r>
            <rPr>
              <b/>
              <sz val="12"/>
              <rFont val="KaiTi"/>
              <family val="2"/>
            </rPr>
            <t xml:space="preserve">动力电池：收入</t>
          </r>
        </is>
      </c>
      <c r="B39" s="19"/>
      <c r="C39" s="20">
        <v>316506.369</v>
      </c>
      <c r="D39" s="24">
        <f>D36*D38/100</f>
        <v>342143.384889</v>
      </c>
      <c r="E39" s="24">
        <f>E36*E38/100</f>
        <v>361303.414442784</v>
      </c>
      <c r="F39" s="24">
        <f>F36*F38/100</f>
        <v>382403.5338462426</v>
      </c>
      <c r="G39" s="24">
        <f>G36*G38/100</f>
        <v>397240.79095947684</v>
      </c>
      <c r="H39" s="24">
        <f>H36*H38/100</f>
        <v>408760.77389730164</v>
      </c>
    </row>
    <row r="40" ht="20" customHeight="1">
      <c r="A40" s="12" t="inlineStr">
        <is>
          <r>
            <rPr>
              <sz val="12"/>
              <rFont val="KaiTi"/>
              <family val="2"/>
            </rPr>
            <t xml:space="preserve">动力电池：毛利率变动（百分点）</t>
          </r>
        </is>
      </c>
      <c r="B40" s="12"/>
      <c r="C40" s="12"/>
      <c r="D40" s="39">
        <v>-1.5</v>
      </c>
      <c r="E40" s="39">
        <v>-0.5</v>
      </c>
      <c r="F40" s="39">
        <v>0.0</v>
      </c>
      <c r="G40" s="39">
        <v>0.0</v>
      </c>
      <c r="H40" s="39">
        <v>0.0</v>
      </c>
    </row>
    <row r="41" ht="20" customHeight="1">
      <c r="A41" s="12" t="inlineStr">
        <is>
          <r>
            <rPr>
              <sz val="12"/>
              <rFont val="KaiTi"/>
              <family val="2"/>
            </rPr>
            <t xml:space="preserve">动力电池：毛利率</t>
          </r>
        </is>
      </c>
      <c r="B41" s="12"/>
      <c r="C41" s="14">
        <f>1-C42/C39</f>
        <v>0.23835846412303952</v>
      </c>
      <c r="D41" s="14">
        <f>C41+D40/100</f>
        <v>0.2233584641230395</v>
      </c>
      <c r="E41" s="14">
        <f>D41+E40/100</f>
        <v>0.2183584641230395</v>
      </c>
      <c r="F41" s="14">
        <f>E41+F40/100</f>
        <v>0.2183584641230395</v>
      </c>
      <c r="G41" s="14">
        <f>F41+G40/100</f>
        <v>0.2183584641230395</v>
      </c>
      <c r="H41" s="14">
        <f>G41+H40/100</f>
        <v>0.2183584641230395</v>
      </c>
    </row>
    <row r="42" ht="20" customHeight="1">
      <c r="A42" s="12" t="inlineStr">
        <is>
          <r>
            <rPr>
              <sz val="12"/>
              <rFont val="KaiTi"/>
              <family val="2"/>
            </rPr>
            <t xml:space="preserve">动力电池：营业成本</t>
          </r>
        </is>
      </c>
      <c r="B42" s="12"/>
      <c r="C42" s="22">
        <v>241064.397</v>
      </c>
      <c r="D42" s="15">
        <f>D39*(1-D41)</f>
        <v>265722.763930335</v>
      </c>
      <c r="E42" s="15">
        <f>E39*(1-E41)</f>
        <v>282409.75578264764</v>
      </c>
      <c r="F42" s="15">
        <f>F39*(1-F41)</f>
        <v>298902.4855203543</v>
      </c>
      <c r="G42" s="15">
        <f>G39*(1-G41)</f>
        <v>310499.9019585441</v>
      </c>
      <c r="H42" s="15">
        <f>H39*(1-H41)</f>
        <v>319504.39911534183</v>
      </c>
    </row>
    <row r="43" ht="20" customHeight="1">
      <c r="A43" s="12" t="inlineStr">
        <is>
          <r>
            <rPr>
              <sz val="12"/>
              <rFont val="KaiTi"/>
              <family val="2"/>
            </rPr>
            <t xml:space="preserve">储能电池：销量增速</t>
          </r>
        </is>
      </c>
      <c r="B43" s="12"/>
      <c r="C43" s="12"/>
      <c r="D43" s="30">
        <v>0.15</v>
      </c>
      <c r="E43" s="30">
        <v>0.12</v>
      </c>
      <c r="F43" s="30">
        <v>0.1</v>
      </c>
      <c r="G43" s="30">
        <v>0.08</v>
      </c>
      <c r="H43" s="30">
        <v>0.06</v>
      </c>
    </row>
    <row r="44" ht="20" customHeight="1">
      <c r="A44" s="12" t="inlineStr">
        <is>
          <r>
            <rPr>
              <sz val="12"/>
              <rFont val="KaiTi"/>
              <family val="2"/>
            </rPr>
            <t xml:space="preserve">储能电池：销量（</t>
          </r>
          <r>
            <rPr>
              <sz val="12"/>
              <rFont val="Arial"/>
              <family val="2"/>
            </rPr>
            <t xml:space="preserve">GWh</t>
          </r>
          <r>
            <rPr>
              <sz val="12"/>
              <rFont val="KaiTi"/>
              <family val="2"/>
            </rPr>
            <t xml:space="preserve">）</t>
          </r>
        </is>
      </c>
      <c r="B44" s="12"/>
      <c r="C44" s="37">
        <v>121.0</v>
      </c>
      <c r="D44" s="38">
        <f>C44*(1+D43)</f>
        <v>139.14999999999998</v>
      </c>
      <c r="E44" s="38">
        <f>D44*(1+E43)</f>
        <v>155.84799999999998</v>
      </c>
      <c r="F44" s="38">
        <f>E44*(1+F43)</f>
        <v>171.4328</v>
      </c>
      <c r="G44" s="38">
        <f>F44*(1+G43)</f>
        <v>185.147424</v>
      </c>
      <c r="H44" s="38">
        <f>G44*(1+H43)</f>
        <v>196.25626944</v>
      </c>
    </row>
    <row r="45" ht="20" customHeight="1">
      <c r="A45" s="12" t="inlineStr">
        <is>
          <r>
            <rPr>
              <sz val="12"/>
              <rFont val="KaiTi"/>
              <family val="2"/>
            </rPr>
            <t xml:space="preserve">储能电池：单价增速</t>
          </r>
        </is>
      </c>
      <c r="B45" s="12"/>
      <c r="C45" s="12"/>
      <c r="D45" s="30">
        <v>-0.08</v>
      </c>
      <c r="E45" s="30">
        <v>-0.05</v>
      </c>
      <c r="F45" s="30">
        <v>-0.03</v>
      </c>
      <c r="G45" s="30">
        <v>-0.02</v>
      </c>
      <c r="H45" s="30">
        <v>-0.02</v>
      </c>
    </row>
    <row r="46" ht="20" customHeight="1">
      <c r="A46" s="12" t="inlineStr">
        <is>
          <r>
            <rPr>
              <sz val="12"/>
              <rFont val="KaiTi"/>
              <family val="2"/>
            </rPr>
            <t xml:space="preserve">储能电池：单价（万元</t>
          </r>
          <r>
            <rPr>
              <sz val="12"/>
              <rFont val="Arial"/>
              <family val="2"/>
            </rPr>
            <t xml:space="preserve">/GWh</t>
          </r>
          <r>
            <rPr>
              <sz val="12"/>
              <rFont val="KaiTi"/>
              <family val="2"/>
            </rPr>
            <t xml:space="preserve">）</t>
          </r>
        </is>
      </c>
      <c r="B46" s="12"/>
      <c r="C46" s="16">
        <f>C47*100/C44</f>
        <v>51603.15702479339</v>
      </c>
      <c r="D46" s="16">
        <f>C46*(1+D45)</f>
        <v>47474.90446280992</v>
      </c>
      <c r="E46" s="16">
        <f>D46*(1+E45)</f>
        <v>45101.159239669425</v>
      </c>
      <c r="F46" s="16">
        <f>E46*(1+F45)</f>
        <v>43748.12446247934</v>
      </c>
      <c r="G46" s="16">
        <f>F46*(1+G45)</f>
        <v>42873.161973229755</v>
      </c>
      <c r="H46" s="16">
        <f>G46*(1+H45)</f>
        <v>42015.69873376516</v>
      </c>
    </row>
    <row r="47" ht="20" customHeight="1">
      <c r="A47" s="19" t="inlineStr">
        <is>
          <r>
            <rPr>
              <b/>
              <sz val="12"/>
              <rFont val="KaiTi"/>
              <family val="2"/>
            </rPr>
            <t xml:space="preserve">储能电池：收入</t>
          </r>
        </is>
      </c>
      <c r="B47" s="19"/>
      <c r="C47" s="20">
        <v>62439.82</v>
      </c>
      <c r="D47" s="24">
        <f>D44*D46/100</f>
        <v>66061.32956</v>
      </c>
      <c r="E47" s="24">
        <f>E44*E46/100</f>
        <v>70289.25465184</v>
      </c>
      <c r="F47" s="24">
        <f>F44*F46/100</f>
        <v>74998.63471351327</v>
      </c>
      <c r="G47" s="24">
        <f>G44*G46/100</f>
        <v>79378.55498078246</v>
      </c>
      <c r="H47" s="24">
        <f>H44*H46/100</f>
        <v>82458.44291403682</v>
      </c>
    </row>
    <row r="48" ht="20" customHeight="1">
      <c r="A48" s="12" t="inlineStr">
        <is>
          <r>
            <rPr>
              <sz val="12"/>
              <rFont val="KaiTi"/>
              <family val="2"/>
            </rPr>
            <t xml:space="preserve">储能电池：毛利率变动（百分点）</t>
          </r>
        </is>
      </c>
      <c r="B48" s="12"/>
      <c r="C48" s="12"/>
      <c r="D48" s="39">
        <v>-2.0</v>
      </c>
      <c r="E48" s="39">
        <v>-1.0</v>
      </c>
      <c r="F48" s="39">
        <v>0.0</v>
      </c>
      <c r="G48" s="39">
        <v>0.0</v>
      </c>
      <c r="H48" s="39">
        <v>0.0</v>
      </c>
    </row>
    <row r="49" ht="20" customHeight="1">
      <c r="A49" s="12" t="inlineStr">
        <is>
          <r>
            <rPr>
              <sz val="12"/>
              <rFont val="KaiTi"/>
              <family val="2"/>
            </rPr>
            <t xml:space="preserve">储能电池：毛利率</t>
          </r>
        </is>
      </c>
      <c r="B49" s="12"/>
      <c r="C49" s="14">
        <f>1-C50/C47</f>
        <v>0.2670752574238683</v>
      </c>
      <c r="D49" s="14">
        <f>C49+D48/100</f>
        <v>0.2470752574238683</v>
      </c>
      <c r="E49" s="14">
        <f>D49+E48/100</f>
        <v>0.23707525742386829</v>
      </c>
      <c r="F49" s="14">
        <f>E49+F48/100</f>
        <v>0.23707525742386829</v>
      </c>
      <c r="G49" s="14">
        <f>F49+G48/100</f>
        <v>0.23707525742386829</v>
      </c>
      <c r="H49" s="14">
        <f>G49+H48/100</f>
        <v>0.23707525742386829</v>
      </c>
    </row>
    <row r="50" ht="20" customHeight="1">
      <c r="A50" s="12" t="inlineStr">
        <is>
          <r>
            <rPr>
              <sz val="12"/>
              <rFont val="KaiTi"/>
              <family val="2"/>
            </rPr>
            <t xml:space="preserve">储能电池：营业成本</t>
          </r>
        </is>
      </c>
      <c r="B50" s="12"/>
      <c r="C50" s="22">
        <v>45763.689</v>
      </c>
      <c r="D50" s="15">
        <f>D47*(1-D49)</f>
        <v>49739.2095532</v>
      </c>
      <c r="E50" s="15">
        <f>E47*(1-E49)</f>
        <v>53625.41151112321</v>
      </c>
      <c r="F50" s="15">
        <f>F47*(1-F49)</f>
        <v>57218.314082368444</v>
      </c>
      <c r="G50" s="15">
        <f>G47*(1-G49)</f>
        <v>60559.86362477878</v>
      </c>
      <c r="H50" s="15">
        <f>H47*(1-H49)</f>
        <v>62909.58633342019</v>
      </c>
    </row>
    <row r="51" ht="20" customHeight="1">
      <c r="A51" s="12" t="inlineStr">
        <is>
          <r>
            <rPr>
              <sz val="12"/>
              <rFont val="KaiTi"/>
              <family val="2"/>
            </rPr>
            <t xml:space="preserve">其他业务收入（保持不变）</t>
          </r>
        </is>
      </c>
      <c r="B51" s="12"/>
      <c r="C51" s="22">
        <v>44755.64499999996</v>
      </c>
      <c r="D51" s="15">
        <f>C51</f>
        <v>44755.64499999996</v>
      </c>
      <c r="E51" s="15">
        <f>D51</f>
        <v>44755.64499999996</v>
      </c>
      <c r="F51" s="15">
        <f>E51</f>
        <v>44755.64499999996</v>
      </c>
      <c r="G51" s="15">
        <f>F51</f>
        <v>44755.64499999996</v>
      </c>
      <c r="H51" s="15">
        <f>G51</f>
        <v>44755.64499999996</v>
      </c>
    </row>
    <row r="52" ht="20" customHeight="1">
      <c r="A52" s="12" t="inlineStr">
        <is>
          <r>
            <rPr>
              <sz val="12"/>
              <rFont val="KaiTi"/>
              <family val="2"/>
            </rPr>
            <t xml:space="preserve">其他业务成本（保持不变）</t>
          </r>
        </is>
      </c>
      <c r="B52" s="12"/>
      <c r="C52" s="22">
        <v>25555.21100000001</v>
      </c>
      <c r="D52" s="15">
        <f>C52</f>
        <v>25555.21100000001</v>
      </c>
      <c r="E52" s="15">
        <f>D52</f>
        <v>25555.21100000001</v>
      </c>
      <c r="F52" s="15">
        <f>E52</f>
        <v>25555.21100000001</v>
      </c>
      <c r="G52" s="15">
        <f>F52</f>
        <v>25555.21100000001</v>
      </c>
      <c r="H52" s="15">
        <f>G52</f>
        <v>25555.21100000001</v>
      </c>
    </row>
    <row r="53" ht="20" customHeight="1">
      <c r="A53" s="19" t="inlineStr">
        <is>
          <r>
            <rPr>
              <b/>
              <sz val="12"/>
              <rFont val="KaiTi"/>
              <family val="2"/>
            </rPr>
            <t xml:space="preserve">营业收入</t>
          </r>
        </is>
      </c>
      <c r="B53" s="19"/>
      <c r="C53" s="24">
        <f>C39+C47+C51</f>
        <v>423701.834</v>
      </c>
      <c r="D53" s="24">
        <f>D39+D47+D51</f>
        <v>452960.3594489999</v>
      </c>
      <c r="E53" s="24">
        <f>E39+E47+E51</f>
        <v>476348.31409462396</v>
      </c>
      <c r="F53" s="24">
        <f>F39+F47+F51</f>
        <v>502157.8135597558</v>
      </c>
      <c r="G53" s="24">
        <f>G39+G47+G51</f>
        <v>521374.99094025925</v>
      </c>
      <c r="H53" s="24">
        <f>H39+H47+H51</f>
        <v>535974.8618113385</v>
      </c>
    </row>
    <row r="54" ht="20" customHeight="1">
      <c r="A54" s="12" t="inlineStr">
        <is>
          <r>
            <rPr>
              <sz val="12"/>
              <rFont val="KaiTi"/>
              <family val="2"/>
            </rPr>
            <t xml:space="preserve">营业收入增速</t>
          </r>
        </is>
      </c>
      <c r="B54" s="12"/>
      <c r="C54" s="12"/>
      <c r="D54" s="14">
        <f>D53/C53-1</f>
        <v>0.06905451688226583</v>
      </c>
      <c r="E54" s="14">
        <f>E53/D53-1</f>
        <v>0.05163355723682783</v>
      </c>
      <c r="F54" s="14">
        <f>F53/E53-1</f>
        <v>0.054181989736201475</v>
      </c>
      <c r="G54" s="14">
        <f>G53/F53-1</f>
        <v>0.03826919916723881</v>
      </c>
      <c r="H54" s="14">
        <f>H53/G53-1</f>
        <v>0.028002629824551928</v>
      </c>
    </row>
    <row r="55" ht="20" customHeight="1">
      <c r="A55" s="12" t="inlineStr">
        <is>
          <r>
            <rPr>
              <sz val="12"/>
              <rFont val="KaiTi"/>
              <family val="2"/>
            </rPr>
            <t xml:space="preserve">营业成本</t>
          </r>
        </is>
      </c>
      <c r="B55" s="12"/>
      <c r="C55" s="15">
        <f>C42+C50+C52</f>
        <v>312383.297</v>
      </c>
      <c r="D55" s="15">
        <f>D42+D50+D52</f>
        <v>341017.184483535</v>
      </c>
      <c r="E55" s="15">
        <f>E42+E50+E52</f>
        <v>361590.37829377083</v>
      </c>
      <c r="F55" s="15">
        <f>F42+F50+F52</f>
        <v>381676.01060272276</v>
      </c>
      <c r="G55" s="15">
        <f>G42+G50+G52</f>
        <v>396614.97658332286</v>
      </c>
      <c r="H55" s="15">
        <f>H42+H50+H52</f>
        <v>407969.196448762</v>
      </c>
    </row>
    <row r="56" ht="20" customHeight="1">
      <c r="A56" s="19" t="inlineStr">
        <is>
          <r>
            <rPr>
              <b/>
              <sz val="12"/>
              <rFont val="KaiTi"/>
              <family val="2"/>
            </rPr>
            <t xml:space="preserve">综合毛利率</t>
          </r>
        </is>
      </c>
      <c r="B56" s="19"/>
      <c r="C56" s="40">
        <f>1-C55/C53</f>
        <v>0.2627284757044501</v>
      </c>
      <c r="D56" s="40">
        <f>1-D55/D53</f>
        <v>0.24713680265892868</v>
      </c>
      <c r="E56" s="40">
        <f>1-E55/E53</f>
        <v>0.24091181264904638</v>
      </c>
      <c r="F56" s="40">
        <f>1-F55/F53</f>
        <v>0.2399281654166593</v>
      </c>
      <c r="G56" s="40">
        <f>1-G55/G53</f>
        <v>0.23929036974316975</v>
      </c>
      <c r="H56" s="40">
        <f>1-H55/H53</f>
        <v>0.23882774078242874</v>
      </c>
    </row>
    <row r="57" ht="20" customHeight="1">
      <c r="A57" s="12" t="inlineStr">
        <is>
          <r>
            <rPr>
              <sz val="12"/>
              <rFont val="KaiTi"/>
              <family val="2"/>
            </rPr>
            <t xml:space="preserve">　税金及附加率</t>
          </r>
        </is>
      </c>
      <c r="B57" s="12"/>
      <c r="C57" s="28">
        <v>0.006684705546967258</v>
      </c>
      <c r="D57" s="28">
        <v>0.006684705546967258</v>
      </c>
      <c r="E57" s="28">
        <v>0.006684705546967258</v>
      </c>
      <c r="F57" s="28">
        <v>0.006684705546967258</v>
      </c>
      <c r="G57" s="28">
        <v>0.006684705546967258</v>
      </c>
      <c r="H57" s="28">
        <v>0.006684705546967258</v>
      </c>
    </row>
    <row r="58" ht="20" customHeight="1">
      <c r="A58" s="12" t="inlineStr">
        <is>
          <r>
            <rPr>
              <sz val="12"/>
              <rFont val="KaiTi"/>
              <family val="2"/>
            </rPr>
            <t xml:space="preserve">　销售费用率</t>
          </r>
        </is>
      </c>
      <c r="B58" s="12"/>
      <c r="C58" s="28">
        <v>0.008815439774565621</v>
      </c>
      <c r="D58" s="28">
        <v>0.008815439774565621</v>
      </c>
      <c r="E58" s="28">
        <v>0.008815439774565621</v>
      </c>
      <c r="F58" s="28">
        <v>0.008815439774565621</v>
      </c>
      <c r="G58" s="28">
        <v>0.008815439774565621</v>
      </c>
      <c r="H58" s="28">
        <v>0.008815439774565621</v>
      </c>
    </row>
    <row r="59" ht="20" customHeight="1">
      <c r="A59" s="12" t="inlineStr">
        <is>
          <r>
            <rPr>
              <sz val="12"/>
              <rFont val="KaiTi"/>
              <family val="2"/>
            </rPr>
            <t xml:space="preserve">　管理费用率</t>
          </r>
        </is>
      </c>
      <c r="B59" s="12"/>
      <c r="C59" s="28">
        <v>0.02753526197859224</v>
      </c>
      <c r="D59" s="28">
        <v>0.02753526197859224</v>
      </c>
      <c r="E59" s="28">
        <v>0.02753526197859224</v>
      </c>
      <c r="F59" s="28">
        <v>0.02753526197859224</v>
      </c>
      <c r="G59" s="28">
        <v>0.02753526197859224</v>
      </c>
      <c r="H59" s="28">
        <v>0.02753526197859224</v>
      </c>
    </row>
    <row r="60" ht="20" customHeight="1">
      <c r="A60" s="12" t="inlineStr">
        <is>
          <r>
            <rPr>
              <sz val="12"/>
              <rFont val="KaiTi"/>
              <family val="2"/>
            </rPr>
            <t xml:space="preserve">　研发费用率</t>
          </r>
        </is>
      </c>
      <c r="B60" s="12"/>
      <c r="C60" s="28">
        <v>0.052269259235729434</v>
      </c>
      <c r="D60" s="28">
        <v>0.052269259235729434</v>
      </c>
      <c r="E60" s="28">
        <v>0.052269259235729434</v>
      </c>
      <c r="F60" s="28">
        <v>0.052269259235729434</v>
      </c>
      <c r="G60" s="28">
        <v>0.052269259235729434</v>
      </c>
      <c r="H60" s="28">
        <v>0.052269259235729434</v>
      </c>
    </row>
    <row r="61" ht="20" customHeight="1">
      <c r="A61" s="12" t="inlineStr">
        <is>
          <r>
            <rPr>
              <sz val="12"/>
              <rFont val="KaiTi"/>
              <family val="2"/>
            </rPr>
            <t xml:space="preserve">　其他（基期轧差：财务公司利息、折旧重分类等）</t>
          </r>
        </is>
      </c>
      <c r="B61" s="12"/>
      <c r="C61" s="28">
        <v>-0.06263616031456695</v>
      </c>
      <c r="D61" s="28">
        <v>-0.06263616031456695</v>
      </c>
      <c r="E61" s="28">
        <v>-0.06263616031456695</v>
      </c>
      <c r="F61" s="28">
        <v>-0.06263616031456695</v>
      </c>
      <c r="G61" s="28">
        <v>-0.06263616031456695</v>
      </c>
      <c r="H61" s="28">
        <v>-0.06263616031456695</v>
      </c>
    </row>
    <row r="62" ht="20" customHeight="1">
      <c r="A62" s="19" t="inlineStr">
        <is>
          <r>
            <rPr>
              <b/>
              <sz val="12"/>
              <rFont val="KaiTi"/>
              <family val="2"/>
            </rPr>
            <t xml:space="preserve">经营费用率（不含折旧摊销）</t>
          </r>
        </is>
      </c>
      <c r="B62" s="19"/>
      <c r="C62" s="29">
        <f>SUM(C57:C61)</f>
        <v>0.03266850622128759</v>
      </c>
      <c r="D62" s="29">
        <f>SUM(D57:D61)</f>
        <v>0.0326685062212876</v>
      </c>
      <c r="E62" s="29">
        <f>SUM(E57:E61)</f>
        <v>0.0326685062212876</v>
      </c>
      <c r="F62" s="29">
        <f>SUM(F57:F61)</f>
        <v>0.0326685062212876</v>
      </c>
      <c r="G62" s="29">
        <f>SUM(G57:G61)</f>
        <v>0.0326685062212876</v>
      </c>
      <c r="H62" s="29">
        <f>SUM(H57:H61)</f>
        <v>0.0326685062212876</v>
      </c>
    </row>
    <row r="63" ht="20" customHeight="1">
      <c r="A63" s="31" t="inlineStr">
        <is>
          <r>
            <rPr>
              <b/>
              <sz val="12"/>
              <rFont val="KaiTi"/>
              <family val="2"/>
            </rPr>
            <t xml:space="preserve">乐观情景</t>
          </r>
        </is>
      </c>
      <c r="B63" s="31"/>
      <c r="C63" s="31"/>
      <c r="D63" s="31"/>
      <c r="E63" s="31"/>
      <c r="F63" s="31"/>
      <c r="G63" s="31"/>
      <c r="H63" s="31"/>
    </row>
    <row r="64" ht="20" customHeight="1">
      <c r="A64" s="12" t="inlineStr">
        <is>
          <r>
            <rPr>
              <sz val="12"/>
              <rFont val="KaiTi"/>
              <family val="2"/>
            </rPr>
            <t xml:space="preserve">动力电池：销量增速</t>
          </r>
        </is>
      </c>
      <c r="B64" s="12"/>
      <c r="C64" s="12"/>
      <c r="D64" s="30">
        <v>0.32</v>
      </c>
      <c r="E64" s="30">
        <v>0.22</v>
      </c>
      <c r="F64" s="30">
        <v>0.16</v>
      </c>
      <c r="G64" s="30">
        <v>0.12</v>
      </c>
      <c r="H64" s="30">
        <v>0.1</v>
      </c>
    </row>
    <row r="65" ht="20" customHeight="1">
      <c r="A65" s="12" t="inlineStr">
        <is>
          <r>
            <rPr>
              <sz val="12"/>
              <rFont val="KaiTi"/>
              <family val="2"/>
            </rPr>
            <t xml:space="preserve">动力电池：销量（</t>
          </r>
          <r>
            <rPr>
              <sz val="12"/>
              <rFont val="Arial"/>
              <family val="2"/>
            </rPr>
            <t xml:space="preserve">GWh</t>
          </r>
          <r>
            <rPr>
              <sz val="12"/>
              <rFont val="KaiTi"/>
              <family val="2"/>
            </rPr>
            <t xml:space="preserve">）</t>
          </r>
        </is>
      </c>
      <c r="B65" s="12"/>
      <c r="C65" s="37">
        <v>541.0</v>
      </c>
      <c r="D65" s="38">
        <f>C65*(1+D64)</f>
        <v>714.12</v>
      </c>
      <c r="E65" s="38">
        <f>D65*(1+E64)</f>
        <v>871.2264</v>
      </c>
      <c r="F65" s="38">
        <f>E65*(1+F64)</f>
        <v>1010.622624</v>
      </c>
      <c r="G65" s="38">
        <f>F65*(1+G64)</f>
        <v>1131.89733888</v>
      </c>
      <c r="H65" s="38">
        <f>G65*(1+H64)</f>
        <v>1245.087072768</v>
      </c>
    </row>
    <row r="66" ht="20" customHeight="1">
      <c r="A66" s="12" t="inlineStr">
        <is>
          <r>
            <rPr>
              <sz val="12"/>
              <rFont val="KaiTi"/>
              <family val="2"/>
            </rPr>
            <t xml:space="preserve">动力电池：单价增速</t>
          </r>
        </is>
      </c>
      <c r="B66" s="12"/>
      <c r="C66" s="12"/>
      <c r="D66" s="30">
        <v>0.0</v>
      </c>
      <c r="E66" s="30">
        <v>-0.01</v>
      </c>
      <c r="F66" s="30">
        <v>0.0</v>
      </c>
      <c r="G66" s="30">
        <v>0.0</v>
      </c>
      <c r="H66" s="30">
        <v>0.0</v>
      </c>
    </row>
    <row r="67" ht="20" customHeight="1">
      <c r="A67" s="12" t="inlineStr">
        <is>
          <r>
            <rPr>
              <sz val="12"/>
              <rFont val="KaiTi"/>
              <family val="2"/>
            </rPr>
            <t xml:space="preserve">动力电池：单价（万元</t>
          </r>
          <r>
            <rPr>
              <sz val="12"/>
              <rFont val="Arial"/>
              <family val="2"/>
            </rPr>
            <t xml:space="preserve">/GWh</t>
          </r>
          <r>
            <rPr>
              <sz val="12"/>
              <rFont val="KaiTi"/>
              <family val="2"/>
            </rPr>
            <t xml:space="preserve">）</t>
          </r>
        </is>
      </c>
      <c r="B67" s="12"/>
      <c r="C67" s="16">
        <f>C68*100/C65</f>
        <v>58503.94990757856</v>
      </c>
      <c r="D67" s="16">
        <f>C67*(1+D66)</f>
        <v>58503.94990757856</v>
      </c>
      <c r="E67" s="16">
        <f>D67*(1+E66)</f>
        <v>57918.91040850277</v>
      </c>
      <c r="F67" s="16">
        <f>E67*(1+F66)</f>
        <v>57918.91040850277</v>
      </c>
      <c r="G67" s="16">
        <f>F67*(1+G66)</f>
        <v>57918.91040850277</v>
      </c>
      <c r="H67" s="16">
        <f>G67*(1+H66)</f>
        <v>57918.91040850277</v>
      </c>
    </row>
    <row r="68" ht="20" customHeight="1">
      <c r="A68" s="19" t="inlineStr">
        <is>
          <r>
            <rPr>
              <b/>
              <sz val="12"/>
              <rFont val="KaiTi"/>
              <family val="2"/>
            </rPr>
            <t xml:space="preserve">动力电池：收入</t>
          </r>
        </is>
      </c>
      <c r="B68" s="19"/>
      <c r="C68" s="20">
        <v>316506.369</v>
      </c>
      <c r="D68" s="24">
        <f>D65*D67/100</f>
        <v>417788.40708</v>
      </c>
      <c r="E68" s="24">
        <f>E65*E67/100</f>
        <v>504604.83807122405</v>
      </c>
      <c r="F68" s="24">
        <f>F65*F67/100</f>
        <v>585341.6121626198</v>
      </c>
      <c r="G68" s="24">
        <f>G65*G67/100</f>
        <v>655582.6056221342</v>
      </c>
      <c r="H68" s="24">
        <f>H65*H67/100</f>
        <v>721140.8661843478</v>
      </c>
    </row>
    <row r="69" ht="20" customHeight="1">
      <c r="A69" s="12" t="inlineStr">
        <is>
          <r>
            <rPr>
              <sz val="12"/>
              <rFont val="KaiTi"/>
              <family val="2"/>
            </rPr>
            <t xml:space="preserve">动力电池：毛利率变动（百分点）</t>
          </r>
        </is>
      </c>
      <c r="B69" s="12"/>
      <c r="C69" s="12"/>
      <c r="D69" s="39">
        <v>0.5</v>
      </c>
      <c r="E69" s="39">
        <v>0.0</v>
      </c>
      <c r="F69" s="39">
        <v>0.0</v>
      </c>
      <c r="G69" s="39">
        <v>0.0</v>
      </c>
      <c r="H69" s="39">
        <v>0.0</v>
      </c>
    </row>
    <row r="70" ht="20" customHeight="1">
      <c r="A70" s="12" t="inlineStr">
        <is>
          <r>
            <rPr>
              <sz val="12"/>
              <rFont val="KaiTi"/>
              <family val="2"/>
            </rPr>
            <t xml:space="preserve">动力电池：毛利率</t>
          </r>
        </is>
      </c>
      <c r="B70" s="12"/>
      <c r="C70" s="14">
        <f>1-C71/C68</f>
        <v>0.23835846412303952</v>
      </c>
      <c r="D70" s="14">
        <f>C70+D69/100</f>
        <v>0.24335846412303952</v>
      </c>
      <c r="E70" s="14">
        <f>D70+E69/100</f>
        <v>0.24335846412303952</v>
      </c>
      <c r="F70" s="14">
        <f>E70+F69/100</f>
        <v>0.24335846412303952</v>
      </c>
      <c r="G70" s="14">
        <f>F70+G69/100</f>
        <v>0.24335846412303952</v>
      </c>
      <c r="H70" s="14">
        <f>G70+H69/100</f>
        <v>0.24335846412303952</v>
      </c>
    </row>
    <row r="71" ht="20" customHeight="1">
      <c r="A71" s="12" t="inlineStr">
        <is>
          <r>
            <rPr>
              <sz val="12"/>
              <rFont val="KaiTi"/>
              <family val="2"/>
            </rPr>
            <t xml:space="preserve">动力电池：营业成本</t>
          </r>
        </is>
      </c>
      <c r="B71" s="12"/>
      <c r="C71" s="22">
        <v>241064.397</v>
      </c>
      <c r="D71" s="15">
        <f>D68*(1-D70)</f>
        <v>316116.06200459995</v>
      </c>
      <c r="E71" s="15">
        <f>E68*(1-E70)</f>
        <v>381804.9796891559</v>
      </c>
      <c r="F71" s="15">
        <f>F68*(1-F70)</f>
        <v>442893.7764394208</v>
      </c>
      <c r="G71" s="15">
        <f>G68*(1-G70)</f>
        <v>496041.02961215127</v>
      </c>
      <c r="H71" s="15">
        <f>H68*(1-H70)</f>
        <v>545645.1325733665</v>
      </c>
    </row>
    <row r="72" ht="20" customHeight="1">
      <c r="A72" s="12" t="inlineStr">
        <is>
          <r>
            <rPr>
              <sz val="12"/>
              <rFont val="KaiTi"/>
              <family val="2"/>
            </rPr>
            <t xml:space="preserve">储能电池：销量增速</t>
          </r>
        </is>
      </c>
      <c r="B72" s="12"/>
      <c r="C72" s="12"/>
      <c r="D72" s="30">
        <v>0.5</v>
      </c>
      <c r="E72" s="30">
        <v>0.35</v>
      </c>
      <c r="F72" s="30">
        <v>0.25</v>
      </c>
      <c r="G72" s="30">
        <v>0.18</v>
      </c>
      <c r="H72" s="30">
        <v>0.15</v>
      </c>
    </row>
    <row r="73" ht="20" customHeight="1">
      <c r="A73" s="12" t="inlineStr">
        <is>
          <r>
            <rPr>
              <sz val="12"/>
              <rFont val="KaiTi"/>
              <family val="2"/>
            </rPr>
            <t xml:space="preserve">储能电池：销量（</t>
          </r>
          <r>
            <rPr>
              <sz val="12"/>
              <rFont val="Arial"/>
              <family val="2"/>
            </rPr>
            <t xml:space="preserve">GWh</t>
          </r>
          <r>
            <rPr>
              <sz val="12"/>
              <rFont val="KaiTi"/>
              <family val="2"/>
            </rPr>
            <t xml:space="preserve">）</t>
          </r>
        </is>
      </c>
      <c r="B73" s="12"/>
      <c r="C73" s="37">
        <v>121.0</v>
      </c>
      <c r="D73" s="38">
        <f>C73*(1+D72)</f>
        <v>181.5</v>
      </c>
      <c r="E73" s="38">
        <f>D73*(1+E72)</f>
        <v>245.025</v>
      </c>
      <c r="F73" s="38">
        <f>E73*(1+F72)</f>
        <v>306.28125</v>
      </c>
      <c r="G73" s="38">
        <f>F73*(1+G72)</f>
        <v>361.411875</v>
      </c>
      <c r="H73" s="38">
        <f>G73*(1+H72)</f>
        <v>415.62365624999995</v>
      </c>
    </row>
    <row r="74" ht="20" customHeight="1">
      <c r="A74" s="12" t="inlineStr">
        <is>
          <r>
            <rPr>
              <sz val="12"/>
              <rFont val="KaiTi"/>
              <family val="2"/>
            </rPr>
            <t xml:space="preserve">储能电池：单价增速</t>
          </r>
        </is>
      </c>
      <c r="B74" s="12"/>
      <c r="C74" s="12"/>
      <c r="D74" s="30">
        <v>-0.02</v>
      </c>
      <c r="E74" s="30">
        <v>-0.01</v>
      </c>
      <c r="F74" s="30">
        <v>0.0</v>
      </c>
      <c r="G74" s="30">
        <v>0.0</v>
      </c>
      <c r="H74" s="30">
        <v>0.0</v>
      </c>
    </row>
    <row r="75" ht="20" customHeight="1">
      <c r="A75" s="12" t="inlineStr">
        <is>
          <r>
            <rPr>
              <sz val="12"/>
              <rFont val="KaiTi"/>
              <family val="2"/>
            </rPr>
            <t xml:space="preserve">储能电池：单价（万元</t>
          </r>
          <r>
            <rPr>
              <sz val="12"/>
              <rFont val="Arial"/>
              <family val="2"/>
            </rPr>
            <t xml:space="preserve">/GWh</t>
          </r>
          <r>
            <rPr>
              <sz val="12"/>
              <rFont val="KaiTi"/>
              <family val="2"/>
            </rPr>
            <t xml:space="preserve">）</t>
          </r>
        </is>
      </c>
      <c r="B75" s="12"/>
      <c r="C75" s="16">
        <f>C76*100/C73</f>
        <v>51603.15702479339</v>
      </c>
      <c r="D75" s="16">
        <f>C75*(1+D74)</f>
        <v>50571.09388429752</v>
      </c>
      <c r="E75" s="16">
        <f>D75*(1+E74)</f>
        <v>50065.38294545455</v>
      </c>
      <c r="F75" s="16">
        <f>E75*(1+F74)</f>
        <v>50065.38294545455</v>
      </c>
      <c r="G75" s="16">
        <f>F75*(1+G74)</f>
        <v>50065.38294545455</v>
      </c>
      <c r="H75" s="16">
        <f>G75*(1+H74)</f>
        <v>50065.38294545455</v>
      </c>
    </row>
    <row r="76" ht="20" customHeight="1">
      <c r="A76" s="19" t="inlineStr">
        <is>
          <r>
            <rPr>
              <b/>
              <sz val="12"/>
              <rFont val="KaiTi"/>
              <family val="2"/>
            </rPr>
            <t xml:space="preserve">储能电池：收入</t>
          </r>
        </is>
      </c>
      <c r="B76" s="19"/>
      <c r="C76" s="20">
        <v>62439.82</v>
      </c>
      <c r="D76" s="24">
        <f>D73*D75/100</f>
        <v>91786.53540000001</v>
      </c>
      <c r="E76" s="24">
        <f>E73*E75/100</f>
        <v>122672.7045621</v>
      </c>
      <c r="F76" s="24">
        <f>F73*F75/100</f>
        <v>153340.880702625</v>
      </c>
      <c r="G76" s="24">
        <f>G73*G75/100</f>
        <v>180942.23922909753</v>
      </c>
      <c r="H76" s="24">
        <f>H73*H75/100</f>
        <v>208083.5751134621</v>
      </c>
    </row>
    <row r="77" ht="20" customHeight="1">
      <c r="A77" s="12" t="inlineStr">
        <is>
          <r>
            <rPr>
              <sz val="12"/>
              <rFont val="KaiTi"/>
              <family val="2"/>
            </rPr>
            <t xml:space="preserve">储能电池：毛利率变动（百分点）</t>
          </r>
        </is>
      </c>
      <c r="B77" s="12"/>
      <c r="C77" s="12"/>
      <c r="D77" s="39">
        <v>0.3</v>
      </c>
      <c r="E77" s="39">
        <v>0.0</v>
      </c>
      <c r="F77" s="39">
        <v>0.0</v>
      </c>
      <c r="G77" s="39">
        <v>0.0</v>
      </c>
      <c r="H77" s="39">
        <v>0.0</v>
      </c>
    </row>
    <row r="78" ht="20" customHeight="1">
      <c r="A78" s="12" t="inlineStr">
        <is>
          <r>
            <rPr>
              <sz val="12"/>
              <rFont val="KaiTi"/>
              <family val="2"/>
            </rPr>
            <t xml:space="preserve">储能电池：毛利率</t>
          </r>
        </is>
      </c>
      <c r="B78" s="12"/>
      <c r="C78" s="14">
        <f>1-C79/C76</f>
        <v>0.2670752574238683</v>
      </c>
      <c r="D78" s="14">
        <f>C78+D77/100</f>
        <v>0.2700752574238683</v>
      </c>
      <c r="E78" s="14">
        <f>D78+E77/100</f>
        <v>0.2700752574238683</v>
      </c>
      <c r="F78" s="14">
        <f>E78+F77/100</f>
        <v>0.2700752574238683</v>
      </c>
      <c r="G78" s="14">
        <f>F78+G77/100</f>
        <v>0.2700752574238683</v>
      </c>
      <c r="H78" s="14">
        <f>G78+H77/100</f>
        <v>0.2700752574238683</v>
      </c>
    </row>
    <row r="79" ht="20" customHeight="1">
      <c r="A79" s="12" t="inlineStr">
        <is>
          <r>
            <rPr>
              <sz val="12"/>
              <rFont val="KaiTi"/>
              <family val="2"/>
            </rPr>
            <t xml:space="preserve">储能电池：营业成本</t>
          </r>
        </is>
      </c>
      <c r="B79" s="12"/>
      <c r="C79" s="22">
        <v>45763.689</v>
      </c>
      <c r="D79" s="15">
        <f>D76*(1-D78)</f>
        <v>66997.26322380001</v>
      </c>
      <c r="E79" s="15">
        <f>E76*(1-E78)</f>
        <v>89541.8422986087</v>
      </c>
      <c r="F79" s="15">
        <f>F76*(1-F78)</f>
        <v>111927.30287326088</v>
      </c>
      <c r="G79" s="15">
        <f>G76*(1-G78)</f>
        <v>132074.21739044785</v>
      </c>
      <c r="H79" s="15">
        <f>H76*(1-H78)</f>
        <v>151885.349999015</v>
      </c>
    </row>
    <row r="80" ht="20" customHeight="1">
      <c r="A80" s="12" t="inlineStr">
        <is>
          <r>
            <rPr>
              <sz val="12"/>
              <rFont val="KaiTi"/>
              <family val="2"/>
            </rPr>
            <t xml:space="preserve">其他业务收入（保持不变）</t>
          </r>
        </is>
      </c>
      <c r="B80" s="12"/>
      <c r="C80" s="22">
        <v>44755.64499999996</v>
      </c>
      <c r="D80" s="15">
        <f>C80</f>
        <v>44755.64499999996</v>
      </c>
      <c r="E80" s="15">
        <f>D80</f>
        <v>44755.64499999996</v>
      </c>
      <c r="F80" s="15">
        <f>E80</f>
        <v>44755.64499999996</v>
      </c>
      <c r="G80" s="15">
        <f>F80</f>
        <v>44755.64499999996</v>
      </c>
      <c r="H80" s="15">
        <f>G80</f>
        <v>44755.64499999996</v>
      </c>
    </row>
    <row r="81" ht="20" customHeight="1">
      <c r="A81" s="12" t="inlineStr">
        <is>
          <r>
            <rPr>
              <sz val="12"/>
              <rFont val="KaiTi"/>
              <family val="2"/>
            </rPr>
            <t xml:space="preserve">其他业务成本（保持不变）</t>
          </r>
        </is>
      </c>
      <c r="B81" s="12"/>
      <c r="C81" s="22">
        <v>25555.21100000001</v>
      </c>
      <c r="D81" s="15">
        <f>C81</f>
        <v>25555.21100000001</v>
      </c>
      <c r="E81" s="15">
        <f>D81</f>
        <v>25555.21100000001</v>
      </c>
      <c r="F81" s="15">
        <f>E81</f>
        <v>25555.21100000001</v>
      </c>
      <c r="G81" s="15">
        <f>F81</f>
        <v>25555.21100000001</v>
      </c>
      <c r="H81" s="15">
        <f>G81</f>
        <v>25555.21100000001</v>
      </c>
    </row>
    <row r="82" ht="20" customHeight="1">
      <c r="A82" s="19" t="inlineStr">
        <is>
          <r>
            <rPr>
              <b/>
              <sz val="12"/>
              <rFont val="KaiTi"/>
              <family val="2"/>
            </rPr>
            <t xml:space="preserve">营业收入</t>
          </r>
        </is>
      </c>
      <c r="B82" s="19"/>
      <c r="C82" s="24">
        <f>C68+C76+C80</f>
        <v>423701.834</v>
      </c>
      <c r="D82" s="24">
        <f>D68+D76+D80</f>
        <v>554330.58748</v>
      </c>
      <c r="E82" s="24">
        <f>E68+E76+E80</f>
        <v>672033.1876333241</v>
      </c>
      <c r="F82" s="24">
        <f>F68+F76+F80</f>
        <v>783438.1378652449</v>
      </c>
      <c r="G82" s="24">
        <f>G68+G76+G80</f>
        <v>881280.4898512317</v>
      </c>
      <c r="H82" s="24">
        <f>H68+H76+H80</f>
        <v>973980.0862978098</v>
      </c>
    </row>
    <row r="83" ht="20" customHeight="1">
      <c r="A83" s="12" t="inlineStr">
        <is>
          <r>
            <rPr>
              <sz val="12"/>
              <rFont val="KaiTi"/>
              <family val="2"/>
            </rPr>
            <t xml:space="preserve">营业收入增速</t>
          </r>
        </is>
      </c>
      <c r="B83" s="12"/>
      <c r="C83" s="12"/>
      <c r="D83" s="14">
        <f>D82/C82-1</f>
        <v>0.3083034884385232</v>
      </c>
      <c r="E83" s="14">
        <f>E82/D82-1</f>
        <v>0.21233286203527557</v>
      </c>
      <c r="F83" s="14">
        <f>F82/E82-1</f>
        <v>0.16577298901599158</v>
      </c>
      <c r="G83" s="14">
        <f>G82/F82-1</f>
        <v>0.124888420995936</v>
      </c>
      <c r="H83" s="14">
        <f>H82/G82-1</f>
        <v>0.10518739211193329</v>
      </c>
    </row>
    <row r="84" ht="20" customHeight="1">
      <c r="A84" s="12" t="inlineStr">
        <is>
          <r>
            <rPr>
              <sz val="12"/>
              <rFont val="KaiTi"/>
              <family val="2"/>
            </rPr>
            <t xml:space="preserve">营业成本</t>
          </r>
        </is>
      </c>
      <c r="B84" s="12"/>
      <c r="C84" s="15">
        <f>C71+C79+C81</f>
        <v>312383.297</v>
      </c>
      <c r="D84" s="15">
        <f>D71+D79+D81</f>
        <v>408668.53622839996</v>
      </c>
      <c r="E84" s="15">
        <f>E71+E79+E81</f>
        <v>496902.03298776457</v>
      </c>
      <c r="F84" s="15">
        <f>F71+F79+F81</f>
        <v>580376.2903126817</v>
      </c>
      <c r="G84" s="15">
        <f>G71+G79+G81</f>
        <v>653670.4580025992</v>
      </c>
      <c r="H84" s="15">
        <f>H71+H79+H81</f>
        <v>723085.6935723815</v>
      </c>
    </row>
    <row r="85" ht="20" customHeight="1">
      <c r="A85" s="19" t="inlineStr">
        <is>
          <r>
            <rPr>
              <b/>
              <sz val="12"/>
              <rFont val="KaiTi"/>
              <family val="2"/>
            </rPr>
            <t xml:space="preserve">综合毛利率</t>
          </r>
        </is>
      </c>
      <c r="B85" s="19"/>
      <c r="C85" s="40">
        <f>1-C84/C82</f>
        <v>0.2627284757044501</v>
      </c>
      <c r="D85" s="40">
        <f>1-D84/D82</f>
        <v>0.26277108740072086</v>
      </c>
      <c r="E85" s="40">
        <f>1-E84/E82</f>
        <v>0.2605989672359974</v>
      </c>
      <c r="F85" s="40">
        <f>1-F84/F82</f>
        <v>0.2591932122501429</v>
      </c>
      <c r="G85" s="40">
        <f>1-G84/G82</f>
        <v>0.25827195140454684</v>
      </c>
      <c r="H85" s="40">
        <f>1-H84/H82</f>
        <v>0.257597045622464</v>
      </c>
    </row>
    <row r="86" ht="20" customHeight="1">
      <c r="A86" s="12" t="inlineStr">
        <is>
          <r>
            <rPr>
              <sz val="12"/>
              <rFont val="KaiTi"/>
              <family val="2"/>
            </rPr>
            <t xml:space="preserve">　税金及附加率</t>
          </r>
        </is>
      </c>
      <c r="B86" s="12"/>
      <c r="C86" s="28">
        <v>0.006684705546967258</v>
      </c>
      <c r="D86" s="28">
        <v>0.006684705546967258</v>
      </c>
      <c r="E86" s="28">
        <v>0.006684705546967258</v>
      </c>
      <c r="F86" s="28">
        <v>0.006684705546967258</v>
      </c>
      <c r="G86" s="28">
        <v>0.006684705546967258</v>
      </c>
      <c r="H86" s="28">
        <v>0.006684705546967258</v>
      </c>
    </row>
    <row r="87" ht="20" customHeight="1">
      <c r="A87" s="12" t="inlineStr">
        <is>
          <r>
            <rPr>
              <sz val="12"/>
              <rFont val="KaiTi"/>
              <family val="2"/>
            </rPr>
            <t xml:space="preserve">　销售费用率</t>
          </r>
        </is>
      </c>
      <c r="B87" s="12"/>
      <c r="C87" s="28">
        <v>0.008815439774565621</v>
      </c>
      <c r="D87" s="28">
        <v>0.008815439774565621</v>
      </c>
      <c r="E87" s="28">
        <v>0.008815439774565621</v>
      </c>
      <c r="F87" s="28">
        <v>0.008815439774565621</v>
      </c>
      <c r="G87" s="28">
        <v>0.008815439774565621</v>
      </c>
      <c r="H87" s="28">
        <v>0.008815439774565621</v>
      </c>
    </row>
    <row r="88" ht="20" customHeight="1">
      <c r="A88" s="12" t="inlineStr">
        <is>
          <r>
            <rPr>
              <sz val="12"/>
              <rFont val="KaiTi"/>
              <family val="2"/>
            </rPr>
            <t xml:space="preserve">　管理费用率</t>
          </r>
        </is>
      </c>
      <c r="B88" s="12"/>
      <c r="C88" s="28">
        <v>0.02753526197859224</v>
      </c>
      <c r="D88" s="28">
        <v>0.02753526197859224</v>
      </c>
      <c r="E88" s="28">
        <v>0.02753526197859224</v>
      </c>
      <c r="F88" s="28">
        <v>0.02753526197859224</v>
      </c>
      <c r="G88" s="28">
        <v>0.02753526197859224</v>
      </c>
      <c r="H88" s="28">
        <v>0.02753526197859224</v>
      </c>
    </row>
    <row r="89" ht="20" customHeight="1">
      <c r="A89" s="12" t="inlineStr">
        <is>
          <r>
            <rPr>
              <sz val="12"/>
              <rFont val="KaiTi"/>
              <family val="2"/>
            </rPr>
            <t xml:space="preserve">　研发费用率</t>
          </r>
        </is>
      </c>
      <c r="B89" s="12"/>
      <c r="C89" s="28">
        <v>0.052269259235729434</v>
      </c>
      <c r="D89" s="28">
        <v>0.052269259235729434</v>
      </c>
      <c r="E89" s="28">
        <v>0.052269259235729434</v>
      </c>
      <c r="F89" s="28">
        <v>0.052269259235729434</v>
      </c>
      <c r="G89" s="28">
        <v>0.052269259235729434</v>
      </c>
      <c r="H89" s="28">
        <v>0.052269259235729434</v>
      </c>
    </row>
    <row r="90" ht="20" customHeight="1">
      <c r="A90" s="12" t="inlineStr">
        <is>
          <r>
            <rPr>
              <sz val="12"/>
              <rFont val="KaiTi"/>
              <family val="2"/>
            </rPr>
            <t xml:space="preserve">　其他（基期轧差：财务公司利息、折旧重分类等）</t>
          </r>
        </is>
      </c>
      <c r="B90" s="12"/>
      <c r="C90" s="28">
        <v>-0.06263616031456695</v>
      </c>
      <c r="D90" s="28">
        <v>-0.06263616031456695</v>
      </c>
      <c r="E90" s="28">
        <v>-0.06263616031456695</v>
      </c>
      <c r="F90" s="28">
        <v>-0.06263616031456695</v>
      </c>
      <c r="G90" s="28">
        <v>-0.06263616031456695</v>
      </c>
      <c r="H90" s="28">
        <v>-0.06263616031456695</v>
      </c>
    </row>
    <row r="91" ht="20" customHeight="1">
      <c r="A91" s="19" t="inlineStr">
        <is>
          <r>
            <rPr>
              <b/>
              <sz val="12"/>
              <rFont val="KaiTi"/>
              <family val="2"/>
            </rPr>
            <t xml:space="preserve">经营费用率（不含折旧摊销）</t>
          </r>
        </is>
      </c>
      <c r="B91" s="19"/>
      <c r="C91" s="29">
        <f>SUM(C86:C90)</f>
        <v>0.03266850622128759</v>
      </c>
      <c r="D91" s="29">
        <f>SUM(D86:D90)</f>
        <v>0.0326685062212876</v>
      </c>
      <c r="E91" s="29">
        <f>SUM(E86:E90)</f>
        <v>0.0326685062212876</v>
      </c>
      <c r="F91" s="29">
        <f>SUM(F86:F90)</f>
        <v>0.0326685062212876</v>
      </c>
      <c r="G91" s="29">
        <f>SUM(G86:G90)</f>
        <v>0.0326685062212876</v>
      </c>
      <c r="H91" s="29">
        <f>SUM(H86:H90)</f>
        <v>0.0326685062212876</v>
      </c>
    </row>
  </sheetData>
  <pageMargins left="0.5" right="0.5" top="0.6" bottom="0.6" header="0.3" footer="0.3"/>
  <pageSetup paperSize="9" orientation="landscape" fitToWidth="1" fitToHeight="0"/>
</worksheet>
</file>

<file path=xl/worksheets/sheet8.xml><?xml version="1.0" encoding="utf-8"?>
<worksheet xmlns="http://schemas.openxmlformats.org/spreadsheetml/2006/main">
  <sheetPr>
    <tabColor rgb="FFC65911"/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0.0" customWidth="1"/>
    <col min="2" max="2" width="12.0" customWidth="1"/>
    <col min="3" max="3" width="12.0" customWidth="1"/>
    <col min="4" max="4" width="12.0" customWidth="1"/>
    <col min="5" max="5" width="12.0" customWidth="1"/>
    <col min="6" max="6" width="12.0" customWidth="1"/>
    <col min="7" max="7" width="12.0" customWidth="1"/>
    <col min="8" max="8" width="12.0" customWidth="1"/>
    <col min="9" max="9" width="2.5" customWidth="1"/>
    <col min="10" max="10" width="6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三表联动模型：驱动假设与辅助计算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单位：百万元；蓝色为输入（报表值、驱动假设），黑色为公式，绿色为跨表引用；改 </t>
          </r>
          <r>
            <rPr>
              <i/>
              <sz val="9"/>
              <color rgb="FF595959"/>
              <rFont val="Arial"/>
              <family val="2"/>
            </rPr>
            <t xml:space="preserve">B5 </t>
          </r>
          <r>
            <rPr>
              <i/>
              <sz val="9"/>
              <color rgb="FF595959"/>
              <rFont val="KaiTi"/>
              <family val="2"/>
            </rPr>
            <t xml:space="preserve">情景开关（</t>
          </r>
          <r>
            <rPr>
              <i/>
              <sz val="9"/>
              <color rgb="FF595959"/>
              <rFont val="Arial"/>
              <family val="2"/>
            </rPr>
            <t xml:space="preserve">1 </t>
          </r>
          <r>
            <rPr>
              <i/>
              <sz val="9"/>
              <color rgb="FF595959"/>
              <rFont val="KaiTi"/>
              <family val="2"/>
            </rPr>
            <t xml:space="preserve">悲观 </t>
          </r>
          <r>
            <rPr>
              <i/>
              <sz val="9"/>
              <color rgb="FF595959"/>
              <rFont val="Arial"/>
              <family val="2"/>
            </rPr>
            <t xml:space="preserve">/ 2 </t>
          </r>
          <r>
            <rPr>
              <i/>
              <sz val="9"/>
              <color rgb="FF595959"/>
              <rFont val="KaiTi"/>
              <family val="2"/>
            </rPr>
            <t xml:space="preserve">基准 </t>
          </r>
          <r>
            <rPr>
              <i/>
              <sz val="9"/>
              <color rgb="FF595959"/>
              <rFont val="Arial"/>
              <family val="2"/>
            </rPr>
            <t xml:space="preserve">/ 3 </t>
          </r>
          <r>
            <rPr>
              <i/>
              <sz val="9"/>
              <color rgb="FF595959"/>
              <rFont val="KaiTi"/>
              <family val="2"/>
            </rPr>
            <t xml:space="preserve">乐观）即联动三表与 </t>
          </r>
          <r>
            <rPr>
              <i/>
              <sz val="9"/>
              <color rgb="FF595959"/>
              <rFont val="Arial"/>
              <family val="2"/>
            </rPr>
            <t xml:space="preserve">DCF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驱动假设</t>
          </r>
        </is>
      </c>
      <c r="B4" s="3" t="inlineStr">
        <is>
          <t xml:space="preserve">FY2024A</t>
        </is>
      </c>
      <c r="C4" s="3" t="inlineStr">
        <is>
          <t xml:space="preserve">FY2025A</t>
        </is>
      </c>
      <c r="D4" s="3" t="inlineStr">
        <is>
          <t xml:space="preserve">FY2026E</t>
        </is>
      </c>
      <c r="E4" s="3" t="inlineStr">
        <is>
          <t xml:space="preserve">FY2027E</t>
        </is>
      </c>
      <c r="F4" s="3" t="inlineStr">
        <is>
          <t xml:space="preserve">FY2028E</t>
        </is>
      </c>
      <c r="G4" s="3" t="inlineStr">
        <is>
          <t xml:space="preserve">FY2029E</t>
        </is>
      </c>
      <c r="H4" s="3" t="inlineStr">
        <is>
          <t xml:space="preserve">FY2030E</t>
        </is>
      </c>
      <c r="I4" s="2"/>
      <c r="J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5" ht="20" customHeight="1">
      <c r="A5" s="12" t="inlineStr">
        <is>
          <r>
            <rPr>
              <sz val="12"/>
              <rFont val="KaiTi"/>
              <family val="2"/>
            </rPr>
            <t xml:space="preserve">情景开关（</t>
          </r>
          <r>
            <rPr>
              <sz val="12"/>
              <rFont val="Arial"/>
              <family val="2"/>
            </rPr>
            <t xml:space="preserve">1 </t>
          </r>
          <r>
            <rPr>
              <sz val="12"/>
              <rFont val="KaiTi"/>
              <family val="2"/>
            </rPr>
            <t xml:space="preserve">悲观 </t>
          </r>
          <r>
            <rPr>
              <sz val="12"/>
              <rFont val="Arial"/>
              <family val="2"/>
            </rPr>
            <t xml:space="preserve">/ 2 </t>
          </r>
          <r>
            <rPr>
              <sz val="12"/>
              <rFont val="KaiTi"/>
              <family val="2"/>
            </rPr>
            <t xml:space="preserve">基准 </t>
          </r>
          <r>
            <rPr>
              <sz val="12"/>
              <rFont val="Arial"/>
              <family val="2"/>
            </rPr>
            <t xml:space="preserve">/ 3 </t>
          </r>
          <r>
            <rPr>
              <sz val="12"/>
              <rFont val="KaiTi"/>
              <family val="2"/>
            </rPr>
            <t xml:space="preserve">乐观）</t>
          </r>
        </is>
      </c>
      <c r="B5" s="41">
        <v>2</v>
      </c>
      <c r="C5" s="42" t="str">
        <f>CHOOSE(B5,"悲观","基准","乐观")</f>
        <v>基准</v>
      </c>
    </row>
    <row r="6" ht="20" customHeight="1">
      <c r="A6" s="31" t="inlineStr">
        <is>
          <r>
            <rPr>
              <b/>
              <sz val="12"/>
              <rFont val="KaiTi"/>
              <family val="2"/>
            </rPr>
            <t xml:space="preserve">收入与利润率</t>
          </r>
        </is>
      </c>
      <c r="B6" s="31"/>
      <c r="C6" s="31"/>
      <c r="D6" s="31"/>
      <c r="E6" s="31"/>
      <c r="F6" s="31"/>
      <c r="G6" s="31"/>
      <c r="H6" s="31"/>
      <c r="I6" s="31"/>
      <c r="J6" s="31"/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　收入增速：悲观</t>
          </r>
        </is>
      </c>
      <c r="B7" s="12"/>
      <c r="C7" s="12"/>
      <c r="D7" s="43">
        <f>'分部预测'!D54</f>
        <v>0.06905451688226583</v>
      </c>
      <c r="E7" s="43">
        <f>'分部预测'!E54</f>
        <v>0.05163355723682783</v>
      </c>
      <c r="F7" s="43">
        <f>'分部预测'!F54</f>
        <v>0.054181989736201475</v>
      </c>
      <c r="G7" s="43">
        <f>'分部预测'!G54</f>
        <v>0.03826919916723881</v>
      </c>
      <c r="H7" s="43">
        <f>'分部预测'!H54</f>
        <v>0.028002629824551928</v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　收入增速：基准</t>
          </r>
        </is>
      </c>
      <c r="B8" s="12"/>
      <c r="C8" s="12"/>
      <c r="D8" s="43">
        <f>'分部预测'!D25</f>
        <v>0.2003693299153857</v>
      </c>
      <c r="E8" s="43">
        <f>'分部预测'!E25</f>
        <v>0.1514700873499466</v>
      </c>
      <c r="F8" s="43">
        <f>'分部预测'!F25</f>
        <v>0.12663080530815463</v>
      </c>
      <c r="G8" s="43">
        <f>'分部预测'!G25</f>
        <v>0.09152940769415818</v>
      </c>
      <c r="H8" s="43">
        <f>'分部预测'!H25</f>
        <v>0.0720477109683304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　收入增速：乐观</t>
          </r>
        </is>
      </c>
      <c r="B9" s="12"/>
      <c r="C9" s="12"/>
      <c r="D9" s="43">
        <f>'分部预测'!D83</f>
        <v>0.3083034884385232</v>
      </c>
      <c r="E9" s="43">
        <f>'分部预测'!E83</f>
        <v>0.21233286203527557</v>
      </c>
      <c r="F9" s="43">
        <f>'分部预测'!F83</f>
        <v>0.16577298901599158</v>
      </c>
      <c r="G9" s="43">
        <f>'分部预测'!G83</f>
        <v>0.124888420995936</v>
      </c>
      <c r="H9" s="43">
        <f>'分部预测'!H83</f>
        <v>0.10518739211193329</v>
      </c>
    </row>
    <row r="10" ht="20" customHeight="1">
      <c r="A10" s="19" t="inlineStr">
        <is>
          <r>
            <rPr>
              <b/>
              <sz val="12"/>
              <rFont val="KaiTi"/>
              <family val="2"/>
            </rPr>
            <t xml:space="preserve">收入增速（选用）</t>
          </r>
        </is>
      </c>
      <c r="B10" s="19"/>
      <c r="C10" s="40">
        <f>'三表-利润表'!C5/'三表-利润表'!B5-1</f>
        <v>0.17040646606968224</v>
      </c>
      <c r="D10" s="40">
        <f>CHOOSE($B$5,D7,D8,D9)</f>
        <v>0.2003693299153857</v>
      </c>
      <c r="E10" s="40">
        <f>CHOOSE($B$5,E7,E8,E9)</f>
        <v>0.1514700873499466</v>
      </c>
      <c r="F10" s="40">
        <f>CHOOSE($B$5,F7,F8,F9)</f>
        <v>0.12663080530815463</v>
      </c>
      <c r="G10" s="40">
        <f>CHOOSE($B$5,G7,G8,G9)</f>
        <v>0.09152940769415818</v>
      </c>
      <c r="H10" s="40">
        <f>CHOOSE($B$5,H7,H8,H9)</f>
        <v>0.0720477109683304</v>
      </c>
      <c r="I10" s="2"/>
      <c r="J10" s="2" t="inlineStr">
        <is>
          <r>
            <rPr>
              <i/>
              <sz val="9"/>
              <color rgb="FF595959"/>
              <rFont val="KaiTi"/>
              <family val="2"/>
            </rPr>
            <t xml:space="preserve">实际期由历史收入反算；预测期按情景开关选用悲观、基准或乐观假设。</t>
          </r>
        </is>
      </c>
    </row>
    <row r="11" ht="20" customHeight="1">
      <c r="A11" s="12" t="inlineStr">
        <is>
          <r>
            <rPr>
              <sz val="12"/>
              <rFont val="KaiTi"/>
              <family val="2"/>
            </rPr>
            <t xml:space="preserve">　毛利率：悲观</t>
          </r>
        </is>
      </c>
      <c r="B11" s="12"/>
      <c r="C11" s="12"/>
      <c r="D11" s="43">
        <f>'分部预测'!D56</f>
        <v>0.24713680265892868</v>
      </c>
      <c r="E11" s="43">
        <f>'分部预测'!E56</f>
        <v>0.24091181264904638</v>
      </c>
      <c r="F11" s="43">
        <f>'分部预测'!F56</f>
        <v>0.2399281654166593</v>
      </c>
      <c r="G11" s="43">
        <f>'分部预测'!G56</f>
        <v>0.23929036974316975</v>
      </c>
      <c r="H11" s="43">
        <f>'分部预测'!H56</f>
        <v>0.23882774078242874</v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　毛利率：基准</t>
          </r>
        </is>
      </c>
      <c r="B12" s="12"/>
      <c r="C12" s="12"/>
      <c r="D12" s="43">
        <f>'分部预测'!D27</f>
        <v>0.25660560918195496</v>
      </c>
      <c r="E12" s="43">
        <f>'分部预测'!E27</f>
        <v>0.25408957625241446</v>
      </c>
      <c r="F12" s="43">
        <f>'分部预测'!F27</f>
        <v>0.2525985115841751</v>
      </c>
      <c r="G12" s="43">
        <f>'分部预测'!G27</f>
        <v>0.25167365736905056</v>
      </c>
      <c r="H12" s="43">
        <f>'分部预测'!H27</f>
        <v>0.2510116605975875</v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　毛利率：乐观</t>
          </r>
        </is>
      </c>
      <c r="B13" s="12"/>
      <c r="C13" s="12"/>
      <c r="D13" s="43">
        <f>'分部预测'!D85</f>
        <v>0.26277108740072086</v>
      </c>
      <c r="E13" s="43">
        <f>'分部预测'!E85</f>
        <v>0.2605989672359974</v>
      </c>
      <c r="F13" s="43">
        <f>'分部预测'!F85</f>
        <v>0.2591932122501429</v>
      </c>
      <c r="G13" s="43">
        <f>'分部预测'!G85</f>
        <v>0.25827195140454684</v>
      </c>
      <c r="H13" s="43">
        <f>'分部预测'!H85</f>
        <v>0.257597045622464</v>
      </c>
    </row>
    <row r="14" ht="20" customHeight="1">
      <c r="A14" s="19" t="inlineStr">
        <is>
          <r>
            <rPr>
              <b/>
              <sz val="12"/>
              <rFont val="KaiTi"/>
              <family val="2"/>
            </rPr>
            <t xml:space="preserve">毛利率（选用）</t>
          </r>
        </is>
      </c>
      <c r="B14" s="40">
        <f>1-'三表-利润表'!B6/'三表-利润表'!B5</f>
        <v>0.2444489673692367</v>
      </c>
      <c r="C14" s="40">
        <f>1-'三表-利润表'!C6/'三表-利润表'!C5</f>
        <v>0.2627284757044501</v>
      </c>
      <c r="D14" s="40">
        <f>CHOOSE($B$5,D11,D12,D13)</f>
        <v>0.25660560918195496</v>
      </c>
      <c r="E14" s="40">
        <f>CHOOSE($B$5,E11,E12,E13)</f>
        <v>0.25408957625241446</v>
      </c>
      <c r="F14" s="40">
        <f>CHOOSE($B$5,F11,F12,F13)</f>
        <v>0.2525985115841751</v>
      </c>
      <c r="G14" s="40">
        <f>CHOOSE($B$5,G11,G12,G13)</f>
        <v>0.25167365736905056</v>
      </c>
      <c r="H14" s="40">
        <f>CHOOSE($B$5,H11,H12,H13)</f>
        <v>0.2510116605975875</v>
      </c>
      <c r="I14" s="2"/>
      <c r="J14" s="2" t="inlineStr">
        <is>
          <r>
            <rPr>
              <i/>
              <sz val="9"/>
              <color rgb="FF595959"/>
              <rFont val="KaiTi"/>
              <family val="2"/>
            </rPr>
            <t xml:space="preserve">实际期由收入与营业成本反算；预测期按情景开关选用。</t>
          </r>
        </is>
      </c>
    </row>
    <row r="15" ht="20" customHeight="1">
      <c r="A15" s="12" t="inlineStr">
        <is>
          <r>
            <rPr>
              <sz val="12"/>
              <rFont val="KaiTi"/>
              <family val="2"/>
            </rPr>
            <t xml:space="preserve">　经营费用率（不含折旧摊销，含税金及附加）：悲观</t>
          </r>
        </is>
      </c>
      <c r="B15" s="12"/>
      <c r="C15" s="12"/>
      <c r="D15" s="43">
        <f>'分部预测'!D62</f>
        <v>0.0326685062212876</v>
      </c>
      <c r="E15" s="43">
        <f>'分部预测'!E62</f>
        <v>0.0326685062212876</v>
      </c>
      <c r="F15" s="43">
        <f>'分部预测'!F62</f>
        <v>0.0326685062212876</v>
      </c>
      <c r="G15" s="43">
        <f>'分部预测'!G62</f>
        <v>0.0326685062212876</v>
      </c>
      <c r="H15" s="43">
        <f>'分部预测'!H62</f>
        <v>0.0326685062212876</v>
      </c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　经营费用率（不含折旧摊销，含税金及附加）：基准</t>
          </r>
        </is>
      </c>
      <c r="B16" s="12"/>
      <c r="C16" s="12"/>
      <c r="D16" s="43">
        <f>'分部预测'!D33</f>
        <v>0.0326685062212876</v>
      </c>
      <c r="E16" s="43">
        <f>'分部预测'!E33</f>
        <v>0.0326685062212876</v>
      </c>
      <c r="F16" s="43">
        <f>'分部预测'!F33</f>
        <v>0.0326685062212876</v>
      </c>
      <c r="G16" s="43">
        <f>'分部预测'!G33</f>
        <v>0.0326685062212876</v>
      </c>
      <c r="H16" s="43">
        <f>'分部预测'!H33</f>
        <v>0.0326685062212876</v>
      </c>
    </row>
    <row r="17" ht="20" customHeight="1">
      <c r="A17" s="12" t="inlineStr">
        <is>
          <r>
            <rPr>
              <sz val="12"/>
              <rFont val="KaiTi"/>
              <family val="2"/>
            </rPr>
            <t xml:space="preserve">　经营费用率（不含折旧摊销，含税金及附加）：乐观</t>
          </r>
        </is>
      </c>
      <c r="B17" s="12"/>
      <c r="C17" s="12"/>
      <c r="D17" s="43">
        <f>'分部预测'!D91</f>
        <v>0.0326685062212876</v>
      </c>
      <c r="E17" s="43">
        <f>'分部预测'!E91</f>
        <v>0.0326685062212876</v>
      </c>
      <c r="F17" s="43">
        <f>'分部预测'!F91</f>
        <v>0.0326685062212876</v>
      </c>
      <c r="G17" s="43">
        <f>'分部预测'!G91</f>
        <v>0.0326685062212876</v>
      </c>
      <c r="H17" s="43">
        <f>'分部预测'!H91</f>
        <v>0.0326685062212876</v>
      </c>
    </row>
    <row r="18" ht="20" customHeight="1">
      <c r="A18" s="19" t="inlineStr">
        <is>
          <r>
            <rPr>
              <b/>
              <sz val="12"/>
              <rFont val="KaiTi"/>
              <family val="2"/>
            </rPr>
            <t xml:space="preserve">经营费用率（不含折旧摊销，含税金及附加）（选用）</t>
          </r>
        </is>
      </c>
      <c r="B18" s="40">
        <f>'三表-利润表'!B8/'三表-利润表'!B5</f>
        <v>0.03090292553777025</v>
      </c>
      <c r="C18" s="40">
        <f>'三表-利润表'!C8/'三表-利润表'!C5</f>
        <v>0.03266850622128759</v>
      </c>
      <c r="D18" s="40">
        <f>CHOOSE($B$5,D15,D16,D17)</f>
        <v>0.0326685062212876</v>
      </c>
      <c r="E18" s="40">
        <f>CHOOSE($B$5,E15,E16,E17)</f>
        <v>0.0326685062212876</v>
      </c>
      <c r="F18" s="40">
        <f>CHOOSE($B$5,F15,F16,F17)</f>
        <v>0.0326685062212876</v>
      </c>
      <c r="G18" s="40">
        <f>CHOOSE($B$5,G15,G16,G17)</f>
        <v>0.0326685062212876</v>
      </c>
      <c r="H18" s="40">
        <f>CHOOSE($B$5,H15,H16,H17)</f>
        <v>0.0326685062212876</v>
      </c>
      <c r="I18" s="2"/>
      <c r="J18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经营费用率不含折旧摊销，含税金及附加；预测期按收入比例计算。</t>
          </r>
        </is>
      </c>
    </row>
    <row r="19" ht="20" customHeight="1">
      <c r="A19" s="12" t="inlineStr">
        <is>
          <r>
            <rPr>
              <sz val="12"/>
              <rFont val="KaiTi"/>
              <family val="2"/>
            </rPr>
            <t xml:space="preserve">所得税率</t>
          </r>
        </is>
      </c>
      <c r="B19" s="14">
        <f>'三表-利润表'!B16/'三表-利润表'!B15</f>
        <v>0.14521919750009968</v>
      </c>
      <c r="C19" s="14">
        <f>'三表-利润表'!C16/'三表-利润表'!C15</f>
        <v>0.14230679850317024</v>
      </c>
      <c r="D19" s="30">
        <v>0.1423067985031702</v>
      </c>
      <c r="E19" s="30">
        <v>0.1423067985031702</v>
      </c>
      <c r="F19" s="30">
        <v>0.1423067985031702</v>
      </c>
      <c r="G19" s="30">
        <v>0.1423067985031702</v>
      </c>
      <c r="H19" s="30">
        <v>0.1423067985031702</v>
      </c>
      <c r="I19" s="2"/>
      <c r="J19" s="2" t="inlineStr">
        <is>
          <r>
            <rPr>
              <i/>
              <sz val="9"/>
              <color rgb="FF595959"/>
              <rFont val="KaiTi"/>
              <family val="2"/>
            </rPr>
            <t xml:space="preserve">所得税率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所得税费用 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利润总额；预测期用于计算账面税与现金税。</t>
          </r>
        </is>
      </c>
    </row>
    <row r="20" ht="20" customHeight="1">
      <c r="A20" s="12" t="inlineStr">
        <is>
          <r>
            <rPr>
              <sz val="12"/>
              <rFont val="KaiTi"/>
              <family val="2"/>
            </rPr>
            <t xml:space="preserve">现金分红率（占净利润）</t>
          </r>
        </is>
      </c>
      <c r="B20" s="12"/>
      <c r="C20" s="12"/>
      <c r="D20" s="30">
        <v>0.5</v>
      </c>
      <c r="E20" s="30">
        <v>0.5</v>
      </c>
      <c r="F20" s="30">
        <v>0.5</v>
      </c>
      <c r="G20" s="30">
        <v>0.5</v>
      </c>
      <c r="H20" s="30">
        <v>0.5</v>
      </c>
    </row>
    <row r="21" ht="20" customHeight="1">
      <c r="A21" s="31" t="inlineStr">
        <is>
          <r>
            <rPr>
              <b/>
              <sz val="12"/>
              <rFont val="KaiTi"/>
              <family val="2"/>
            </rPr>
            <t xml:space="preserve">营运资本（天）</t>
          </r>
        </is>
      </c>
      <c r="B21" s="31"/>
      <c r="C21" s="31"/>
      <c r="D21" s="31"/>
      <c r="E21" s="31"/>
      <c r="F21" s="31"/>
      <c r="G21" s="31"/>
      <c r="H21" s="31"/>
      <c r="I21" s="31"/>
      <c r="J21" s="31"/>
    </row>
    <row r="22" ht="20" customHeight="1">
      <c r="A22" s="12" t="inlineStr">
        <is>
          <r>
            <rPr>
              <sz val="12"/>
              <rFont val="KaiTi"/>
              <family val="2"/>
            </rPr>
            <t xml:space="preserve">　应收账款周转天数：悲观</t>
          </r>
        </is>
      </c>
      <c r="B22" s="12"/>
      <c r="C22" s="12"/>
      <c r="D22" s="25">
        <v>75.81796235510276</v>
      </c>
      <c r="E22" s="25">
        <v>75.81796235510276</v>
      </c>
      <c r="F22" s="25">
        <v>75.81796235510276</v>
      </c>
      <c r="G22" s="25">
        <v>75.81796235510276</v>
      </c>
      <c r="H22" s="25">
        <v>75.81796235510276</v>
      </c>
    </row>
    <row r="23" ht="20" customHeight="1">
      <c r="A23" s="12" t="inlineStr">
        <is>
          <r>
            <rPr>
              <sz val="12"/>
              <rFont val="KaiTi"/>
              <family val="2"/>
            </rPr>
            <t xml:space="preserve">　应收账款周转天数：基准</t>
          </r>
        </is>
      </c>
      <c r="B23" s="12"/>
      <c r="C23" s="12"/>
      <c r="D23" s="25">
        <v>65.81796235510276</v>
      </c>
      <c r="E23" s="25">
        <v>65.81796235510276</v>
      </c>
      <c r="F23" s="25">
        <v>65.81796235510276</v>
      </c>
      <c r="G23" s="25">
        <v>65.81796235510276</v>
      </c>
      <c r="H23" s="25">
        <v>65.81796235510276</v>
      </c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　应收账款周转天数：乐观</t>
          </r>
        </is>
      </c>
      <c r="B24" s="12"/>
      <c r="C24" s="12"/>
      <c r="D24" s="25">
        <v>65.81796235510276</v>
      </c>
      <c r="E24" s="25">
        <v>65.81796235510276</v>
      </c>
      <c r="F24" s="25">
        <v>65.81796235510276</v>
      </c>
      <c r="G24" s="25">
        <v>65.81796235510276</v>
      </c>
      <c r="H24" s="25">
        <v>65.81796235510276</v>
      </c>
    </row>
    <row r="25" ht="20" customHeight="1">
      <c r="A25" s="19" t="inlineStr">
        <is>
          <r>
            <rPr>
              <b/>
              <sz val="12"/>
              <rFont val="KaiTi"/>
              <family val="2"/>
            </rPr>
            <t xml:space="preserve">应收账款周转天数（选用）</t>
          </r>
        </is>
      </c>
      <c r="B25" s="44">
        <f>'三表-资产负债表'!B7/'三表-利润表'!B5*365</f>
        <v>64.66477720548885</v>
      </c>
      <c r="C25" s="44">
        <f>'三表-资产负债表'!C7/'三表-利润表'!C5*365</f>
        <v>65.81796235510276</v>
      </c>
      <c r="D25" s="44">
        <f>CHOOSE($B$5,D22,D23,D24)</f>
        <v>65.81796235510276</v>
      </c>
      <c r="E25" s="44">
        <f>CHOOSE($B$5,E22,E23,E24)</f>
        <v>65.81796235510276</v>
      </c>
      <c r="F25" s="44">
        <f>CHOOSE($B$5,F22,F23,F24)</f>
        <v>65.81796235510276</v>
      </c>
      <c r="G25" s="44">
        <f>CHOOSE($B$5,G22,G23,G24)</f>
        <v>65.81796235510276</v>
      </c>
      <c r="H25" s="44">
        <f>CHOOSE($B$5,H22,H23,H24)</f>
        <v>65.81796235510276</v>
      </c>
      <c r="I25" s="2"/>
      <c r="J25" s="2" t="inlineStr">
        <is>
          <r>
            <rPr>
              <i/>
              <sz val="9"/>
              <color rgb="FF595959"/>
              <rFont val="KaiTi"/>
              <family val="2"/>
            </rPr>
            <t xml:space="preserve">应收账款周转天数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应收账款 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营业收入 </t>
          </r>
          <r>
            <rPr>
              <i/>
              <sz val="9"/>
              <color rgb="FF595959"/>
              <rFont val="Arial"/>
              <family val="2"/>
            </rPr>
            <t xml:space="preserve">×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26" ht="20" customHeight="1">
      <c r="A26" s="12" t="inlineStr">
        <is>
          <r>
            <rPr>
              <sz val="12"/>
              <rFont val="KaiTi"/>
              <family val="2"/>
            </rPr>
            <t xml:space="preserve">存货周转天数（按营业成本）</t>
          </r>
        </is>
      </c>
      <c r="B26" s="15">
        <f>'三表-资产负债表'!B8/'三表-利润表'!B6*365</f>
        <v>79.84810129743147</v>
      </c>
      <c r="C26" s="15">
        <f>'三表-资产负债表'!C8/'三表-利润表'!C6*365</f>
        <v>110.447893873788</v>
      </c>
      <c r="D26" s="22">
        <v>110.447893873788</v>
      </c>
      <c r="E26" s="22">
        <v>110.447893873788</v>
      </c>
      <c r="F26" s="22">
        <v>110.447893873788</v>
      </c>
      <c r="G26" s="22">
        <v>110.447893873788</v>
      </c>
      <c r="H26" s="22">
        <v>110.447893873788</v>
      </c>
      <c r="I26" s="2"/>
      <c r="J26" s="2" t="inlineStr">
        <is>
          <r>
            <rPr>
              <i/>
              <sz val="9"/>
              <color rgb="FF595959"/>
              <rFont val="KaiTi"/>
              <family val="2"/>
            </rPr>
            <t xml:space="preserve">存货周转天数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存货 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营业成本 </t>
          </r>
          <r>
            <rPr>
              <i/>
              <sz val="9"/>
              <color rgb="FF595959"/>
              <rFont val="Arial"/>
              <family val="2"/>
            </rPr>
            <t xml:space="preserve">×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27" ht="20" customHeight="1">
      <c r="A27" s="12" t="inlineStr">
        <is>
          <r>
            <rPr>
              <sz val="12"/>
              <rFont val="KaiTi"/>
              <family val="2"/>
            </rPr>
            <t xml:space="preserve">应付账款周转天数（按营业成本）</t>
          </r>
        </is>
      </c>
      <c r="B27" s="15">
        <f>'三表-资产负债表'!B13/'三表-利润表'!B6*365</f>
        <v>174.78405919203576</v>
      </c>
      <c r="C27" s="15">
        <f>'三表-资产负债表'!C13/'三表-利润表'!C6*365</f>
        <v>187.3341874933857</v>
      </c>
      <c r="D27" s="22">
        <v>187.3341874933857</v>
      </c>
      <c r="E27" s="22">
        <v>187.3341874933857</v>
      </c>
      <c r="F27" s="22">
        <v>187.3341874933857</v>
      </c>
      <c r="G27" s="22">
        <v>187.3341874933857</v>
      </c>
      <c r="H27" s="22">
        <v>187.3341874933857</v>
      </c>
      <c r="I27" s="2"/>
      <c r="J27" s="2" t="inlineStr">
        <is>
          <r>
            <rPr>
              <i/>
              <sz val="9"/>
              <color rgb="FF595959"/>
              <rFont val="KaiTi"/>
              <family val="2"/>
            </rPr>
            <t xml:space="preserve">应付账款周转天数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应付账款 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营业成本 </t>
          </r>
          <r>
            <rPr>
              <i/>
              <sz val="9"/>
              <color rgb="FF595959"/>
              <rFont val="Arial"/>
              <family val="2"/>
            </rPr>
            <t xml:space="preserve">×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28" ht="20" customHeight="1">
      <c r="A28" s="31" t="inlineStr">
        <is>
          <r>
            <rPr>
              <b/>
              <sz val="12"/>
              <rFont val="KaiTi"/>
              <family val="2"/>
            </rPr>
            <t xml:space="preserve">资本开支、折旧与财务</t>
          </r>
        </is>
      </c>
      <c r="B28" s="31"/>
      <c r="C28" s="31"/>
      <c r="D28" s="31"/>
      <c r="E28" s="31"/>
      <c r="F28" s="31"/>
      <c r="G28" s="31"/>
      <c r="H28" s="31"/>
      <c r="I28" s="31"/>
      <c r="J28" s="31"/>
    </row>
    <row r="29" ht="20" customHeight="1">
      <c r="A29" s="12" t="inlineStr">
        <is>
          <r>
            <rPr>
              <sz val="12"/>
              <rFont val="KaiTi"/>
              <family val="2"/>
            </rPr>
            <t xml:space="preserve">　资本开支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收入：悲观</t>
          </r>
        </is>
      </c>
      <c r="B29" s="12"/>
      <c r="C29" s="12"/>
      <c r="D29" s="30">
        <v>0.1</v>
      </c>
      <c r="E29" s="30">
        <v>0.09</v>
      </c>
      <c r="F29" s="30">
        <v>0.08</v>
      </c>
      <c r="G29" s="30">
        <v>0.07</v>
      </c>
      <c r="H29" s="30">
        <v>0.07</v>
      </c>
    </row>
    <row r="30" ht="20" customHeight="1">
      <c r="A30" s="12" t="inlineStr">
        <is>
          <r>
            <rPr>
              <sz val="12"/>
              <rFont val="KaiTi"/>
              <family val="2"/>
            </rPr>
            <t xml:space="preserve">　资本开支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收入：基准</t>
          </r>
        </is>
      </c>
      <c r="B30" s="12"/>
      <c r="C30" s="12"/>
      <c r="D30" s="30">
        <v>0.1</v>
      </c>
      <c r="E30" s="30">
        <v>0.09</v>
      </c>
      <c r="F30" s="30">
        <v>0.08</v>
      </c>
      <c r="G30" s="30">
        <v>0.07</v>
      </c>
      <c r="H30" s="30">
        <v>0.07</v>
      </c>
    </row>
    <row r="31" ht="20" customHeight="1">
      <c r="A31" s="12" t="inlineStr">
        <is>
          <r>
            <rPr>
              <sz val="12"/>
              <rFont val="KaiTi"/>
              <family val="2"/>
            </rPr>
            <t xml:space="preserve">　资本开支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收入：乐观</t>
          </r>
        </is>
      </c>
      <c r="B31" s="12"/>
      <c r="C31" s="12"/>
      <c r="D31" s="30">
        <v>0.1</v>
      </c>
      <c r="E31" s="30">
        <v>0.09</v>
      </c>
      <c r="F31" s="30">
        <v>0.08</v>
      </c>
      <c r="G31" s="30">
        <v>0.07</v>
      </c>
      <c r="H31" s="30">
        <v>0.07</v>
      </c>
    </row>
    <row r="32" ht="20" customHeight="1">
      <c r="A32" s="19" t="inlineStr">
        <is>
          <r>
            <rPr>
              <b/>
              <sz val="12"/>
              <rFont val="KaiTi"/>
              <family val="2"/>
            </rPr>
            <t xml:space="preserve">资本开支 </t>
          </r>
          <r>
            <rPr>
              <b/>
              <sz val="12"/>
              <rFont val="Arial"/>
              <family val="2"/>
            </rPr>
            <t xml:space="preserve">/ </t>
          </r>
          <r>
            <rPr>
              <b/>
              <sz val="12"/>
              <rFont val="KaiTi"/>
              <family val="2"/>
            </rPr>
            <t xml:space="preserve">收入（选用）</t>
          </r>
        </is>
      </c>
      <c r="B32" s="40">
        <f>-'三表-现金流量表'!B12/'三表-利润表'!B5</f>
        <v>0.086129452295182</v>
      </c>
      <c r="C32" s="40">
        <f>-'三表-现金流量表'!C12/'三表-利润表'!C5</f>
        <v>0.09993952020514502</v>
      </c>
      <c r="D32" s="40">
        <f>CHOOSE($B$5,D29,D30,D31)</f>
        <v>0.1</v>
      </c>
      <c r="E32" s="40">
        <f>CHOOSE($B$5,E29,E30,E31)</f>
        <v>0.09</v>
      </c>
      <c r="F32" s="40">
        <f>CHOOSE($B$5,F29,F30,F31)</f>
        <v>0.08</v>
      </c>
      <c r="G32" s="40">
        <f>CHOOSE($B$5,G29,G30,G31)</f>
        <v>0.07</v>
      </c>
      <c r="H32" s="40">
        <f>CHOOSE($B$5,H29,H30,H31)</f>
        <v>0.07</v>
      </c>
      <c r="I32" s="2"/>
      <c r="J32" s="2" t="inlineStr">
        <is>
          <r>
            <rPr>
              <i/>
              <sz val="9"/>
              <color rgb="FF595959"/>
              <rFont val="KaiTi"/>
              <family val="2"/>
            </rPr>
            <t xml:space="preserve">资本开支率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资本开支 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营业收入。</t>
          </r>
        </is>
      </c>
    </row>
    <row r="33" ht="20" customHeight="1">
      <c r="A33" s="12" t="inlineStr">
        <is>
          <r>
            <rPr>
              <sz val="12"/>
              <rFont val="KaiTi"/>
              <family val="2"/>
            </rPr>
            <t xml:space="preserve">折旧率（期初 </t>
          </r>
          <r>
            <rPr>
              <sz val="12"/>
              <rFont val="Arial"/>
              <family val="2"/>
            </rPr>
            <t xml:space="preserve">PP&amp;E + </t>
          </r>
          <r>
            <rPr>
              <sz val="12"/>
              <rFont val="KaiTi"/>
              <family val="2"/>
            </rPr>
            <t xml:space="preserve">半年资本开支）</t>
          </r>
        </is>
      </c>
      <c r="B33" s="12"/>
      <c r="C33" s="14">
        <f>'三表-利润表'!C10/('三表-资产负债表'!B9-0.5*'三表-现金流量表'!C12)</f>
        <v>0.15187978353315623</v>
      </c>
      <c r="D33" s="30">
        <v>0.15187978353315623</v>
      </c>
      <c r="E33" s="30">
        <v>0.15187978353315623</v>
      </c>
      <c r="F33" s="30">
        <v>0.15187978353315623</v>
      </c>
      <c r="G33" s="30">
        <v>0.15187978353315623</v>
      </c>
      <c r="H33" s="30">
        <v>0.15187978353315623</v>
      </c>
    </row>
    <row r="34" ht="20" customHeight="1">
      <c r="A34" s="12" t="inlineStr">
        <is>
          <r>
            <rPr>
              <sz val="12"/>
              <rFont val="KaiTi"/>
              <family val="2"/>
            </rPr>
            <t xml:space="preserve">利率（财务费用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平均有息负债；财务费用为净利息收入时为负）</t>
          </r>
        </is>
      </c>
      <c r="B34" s="12"/>
      <c r="C34" s="14">
        <f>'三表-利润表'!C12/AVERAGE('三表-资产负债表'!B14,'三表-资产负债表'!C14)</f>
        <v>-0.062016109782593073</v>
      </c>
      <c r="D34" s="30">
        <v>-0.062016109782593073</v>
      </c>
      <c r="E34" s="30">
        <v>-0.062016109782593073</v>
      </c>
      <c r="F34" s="30">
        <v>-0.062016109782593073</v>
      </c>
      <c r="G34" s="30">
        <v>-0.062016109782593073</v>
      </c>
      <c r="H34" s="30">
        <v>-0.062016109782593073</v>
      </c>
    </row>
    <row r="35" ht="20" customHeight="1">
      <c r="A35" s="12" t="inlineStr">
        <is>
          <r>
            <rPr>
              <sz val="12"/>
              <rFont val="KaiTi"/>
              <family val="2"/>
            </rPr>
            <t xml:space="preserve">有息负债计划还款</t>
          </r>
        </is>
      </c>
      <c r="B35" s="12"/>
      <c r="C35" s="12"/>
      <c r="D35" s="22">
        <v>0.0</v>
      </c>
      <c r="E35" s="22">
        <v>0.0</v>
      </c>
      <c r="F35" s="22">
        <v>0.0</v>
      </c>
      <c r="G35" s="22">
        <v>0.0</v>
      </c>
      <c r="H35" s="22">
        <v>0.0</v>
      </c>
    </row>
    <row r="36" ht="20" customHeight="1">
      <c r="A36" s="31" t="inlineStr">
        <is>
          <r>
            <rPr>
              <b/>
              <sz val="12"/>
              <rFont val="KaiTi"/>
              <family val="2"/>
            </rPr>
            <t xml:space="preserve">估值参数（</t>
          </r>
          <r>
            <rPr>
              <b/>
              <sz val="12"/>
              <rFont val="Arial"/>
              <family val="2"/>
            </rPr>
            <t xml:space="preserve">DCF</t>
          </r>
          <r>
            <rPr>
              <b/>
              <sz val="12"/>
              <rFont val="KaiTi"/>
              <family val="2"/>
            </rPr>
            <t xml:space="preserve">，全预测期适用）</t>
          </r>
        </is>
      </c>
      <c r="B36" s="31"/>
      <c r="C36" s="31"/>
      <c r="D36" s="31"/>
      <c r="E36" s="31"/>
      <c r="F36" s="31"/>
      <c r="G36" s="31"/>
      <c r="H36" s="31"/>
      <c r="I36" s="31"/>
      <c r="J36" s="31"/>
    </row>
    <row r="37" ht="20" customHeight="1">
      <c r="A37" s="12" t="inlineStr">
        <is>
          <r>
            <rPr>
              <sz val="12"/>
              <rFont val="KaiTi"/>
              <family val="2"/>
            </rPr>
            <t xml:space="preserve">　永续增长率：悲观</t>
          </r>
        </is>
      </c>
      <c r="B37" s="12"/>
      <c r="C37" s="12"/>
      <c r="D37" s="28">
        <v>0.02</v>
      </c>
    </row>
    <row r="38" ht="20" customHeight="1">
      <c r="A38" s="12" t="inlineStr">
        <is>
          <r>
            <rPr>
              <sz val="12"/>
              <rFont val="KaiTi"/>
              <family val="2"/>
            </rPr>
            <t xml:space="preserve">　永续增长率：基准</t>
          </r>
        </is>
      </c>
      <c r="B38" s="12"/>
      <c r="C38" s="12"/>
      <c r="D38" s="28">
        <v>0.025</v>
      </c>
    </row>
    <row r="39" ht="20" customHeight="1">
      <c r="A39" s="12" t="inlineStr">
        <is>
          <r>
            <rPr>
              <sz val="12"/>
              <rFont val="KaiTi"/>
              <family val="2"/>
            </rPr>
            <t xml:space="preserve">　永续增长率：乐观</t>
          </r>
        </is>
      </c>
      <c r="B39" s="12"/>
      <c r="C39" s="12"/>
      <c r="D39" s="28">
        <v>0.03</v>
      </c>
    </row>
    <row r="40" ht="20" customHeight="1">
      <c r="A40" s="19" t="inlineStr">
        <is>
          <r>
            <rPr>
              <b/>
              <sz val="12"/>
              <rFont val="KaiTi"/>
              <family val="2"/>
            </rPr>
            <t xml:space="preserve">永续增长率（选用）</t>
          </r>
        </is>
      </c>
      <c r="B40" s="19"/>
      <c r="C40" s="19"/>
      <c r="D40" s="29">
        <f>CHOOSE($B$5,D37,D38,D39)</f>
        <v>0.025</v>
      </c>
    </row>
    <row r="41" ht="20" customHeight="1">
      <c r="A41" s="12" t="inlineStr">
        <is>
          <r>
            <rPr>
              <sz val="12"/>
              <rFont val="KaiTi"/>
              <family val="2"/>
            </rPr>
            <t xml:space="preserve">　</t>
          </r>
          <r>
            <rPr>
              <sz val="12"/>
              <rFont val="Arial"/>
              <family val="2"/>
            </rPr>
            <t xml:space="preserve">WACC </t>
          </r>
          <r>
            <rPr>
              <sz val="12"/>
              <rFont val="KaiTi"/>
              <family val="2"/>
            </rPr>
            <t xml:space="preserve">情景调整：悲观</t>
          </r>
        </is>
      </c>
      <c r="B41" s="12"/>
      <c r="C41" s="12"/>
      <c r="D41" s="28">
        <v>0.005</v>
      </c>
    </row>
    <row r="42" ht="20" customHeight="1">
      <c r="A42" s="12" t="inlineStr">
        <is>
          <r>
            <rPr>
              <sz val="12"/>
              <rFont val="KaiTi"/>
              <family val="2"/>
            </rPr>
            <t xml:space="preserve">　</t>
          </r>
          <r>
            <rPr>
              <sz val="12"/>
              <rFont val="Arial"/>
              <family val="2"/>
            </rPr>
            <t xml:space="preserve">WACC </t>
          </r>
          <r>
            <rPr>
              <sz val="12"/>
              <rFont val="KaiTi"/>
              <family val="2"/>
            </rPr>
            <t xml:space="preserve">情景调整：基准</t>
          </r>
        </is>
      </c>
      <c r="B42" s="12"/>
      <c r="C42" s="12"/>
      <c r="D42" s="28">
        <v>0.0</v>
      </c>
    </row>
    <row r="43" ht="20" customHeight="1">
      <c r="A43" s="12" t="inlineStr">
        <is>
          <r>
            <rPr>
              <sz val="12"/>
              <rFont val="KaiTi"/>
              <family val="2"/>
            </rPr>
            <t xml:space="preserve">　</t>
          </r>
          <r>
            <rPr>
              <sz val="12"/>
              <rFont val="Arial"/>
              <family val="2"/>
            </rPr>
            <t xml:space="preserve">WACC </t>
          </r>
          <r>
            <rPr>
              <sz val="12"/>
              <rFont val="KaiTi"/>
              <family val="2"/>
            </rPr>
            <t xml:space="preserve">情景调整：乐观</t>
          </r>
        </is>
      </c>
      <c r="B43" s="12"/>
      <c r="C43" s="12"/>
      <c r="D43" s="28">
        <v>-0.0025</v>
      </c>
    </row>
    <row r="44" ht="20" customHeight="1">
      <c r="A44" s="19" t="inlineStr">
        <is>
          <r>
            <rPr>
              <b/>
              <sz val="12"/>
              <rFont val="Arial"/>
              <family val="2"/>
            </rPr>
            <t xml:space="preserve">WACC </t>
          </r>
          <r>
            <rPr>
              <b/>
              <sz val="12"/>
              <rFont val="KaiTi"/>
              <family val="2"/>
            </rPr>
            <t xml:space="preserve">情景调整（选用）</t>
          </r>
        </is>
      </c>
      <c r="B44" s="19"/>
      <c r="C44" s="19"/>
      <c r="D44" s="29">
        <f>CHOOSE($B$5,D41,D42,D43)</f>
        <v>0.0</v>
      </c>
    </row>
    <row r="45" ht="20" customHeight="1">
      <c r="A45" s="31" t="inlineStr">
        <is>
          <r>
            <rPr>
              <b/>
              <sz val="12"/>
              <rFont val="KaiTi"/>
              <family val="2"/>
            </rPr>
            <t xml:space="preserve">辅助计算：营运资本</t>
          </r>
        </is>
      </c>
      <c r="B45" s="31"/>
      <c r="C45" s="31"/>
      <c r="D45" s="31"/>
      <c r="E45" s="31"/>
      <c r="F45" s="31"/>
      <c r="G45" s="31"/>
      <c r="H45" s="31"/>
      <c r="I45" s="31"/>
      <c r="J45" s="31"/>
    </row>
    <row r="46" ht="20" customHeight="1">
      <c r="A46" s="12" t="inlineStr">
        <is>
          <r>
            <rPr>
              <sz val="12"/>
              <rFont val="KaiTi"/>
              <family val="2"/>
            </rPr>
            <t xml:space="preserve">应收账款</t>
          </r>
        </is>
      </c>
      <c r="B46" s="23">
        <f>'三表-资产负债表'!B7</f>
        <v>64135.51</v>
      </c>
      <c r="C46" s="23">
        <f>'三表-资产负债表'!C7</f>
        <v>76403.264</v>
      </c>
      <c r="D46" s="15">
        <f>'三表-利润表'!D5*D25/365</f>
        <v>91712.13481102831</v>
      </c>
      <c r="E46" s="15">
        <f>'三表-利润表'!E5*E25/365</f>
        <v>105603.77988190486</v>
      </c>
      <c r="F46" s="15">
        <f>'三表-利润表'!F5*F25/365</f>
        <v>118976.47157193554</v>
      </c>
      <c r="G46" s="15">
        <f>'三表-利润表'!G5*G25/365</f>
        <v>129866.31754445567</v>
      </c>
      <c r="H46" s="15">
        <f>'三表-利润表'!H5*H25/365</f>
        <v>139222.88845542</v>
      </c>
    </row>
    <row r="47" ht="20" customHeight="1">
      <c r="A47" s="12" t="inlineStr">
        <is>
          <r>
            <rPr>
              <sz val="12"/>
              <rFont val="KaiTi"/>
              <family val="2"/>
            </rPr>
            <t xml:space="preserve">存货</t>
          </r>
        </is>
      </c>
      <c r="B47" s="23">
        <f>'三表-资产负债表'!B8</f>
        <v>59835.533</v>
      </c>
      <c r="C47" s="23">
        <f>'三表-资产负债表'!C8</f>
        <v>94526.239</v>
      </c>
      <c r="D47" s="15">
        <f>'三表-利润表'!D6*D26/365</f>
        <v>114408.70990494719</v>
      </c>
      <c r="E47" s="15">
        <f>'三表-利润表'!E6*E26/365</f>
        <v>132184.07773981127</v>
      </c>
      <c r="F47" s="15">
        <f>'三表-利润表'!F6*F26/365</f>
        <v>149220.3482879763</v>
      </c>
      <c r="G47" s="15">
        <f>'三表-利润表'!G6*G26/365</f>
        <v>163079.9483871151</v>
      </c>
      <c r="H47" s="15">
        <f>'三表-利润表'!H6*H26/365</f>
        <v>174984.14591140425</v>
      </c>
    </row>
    <row r="48" ht="20" customHeight="1">
      <c r="A48" s="12" t="inlineStr">
        <is>
          <r>
            <rPr>
              <sz val="12"/>
              <rFont val="KaiTi"/>
              <family val="2"/>
            </rPr>
            <t xml:space="preserve">应付账款</t>
          </r>
        </is>
      </c>
      <c r="B48" s="23">
        <f>'三表-资产负债表'!B13</f>
        <v>130977.408</v>
      </c>
      <c r="C48" s="23">
        <f>'三表-资产负债表'!C13</f>
        <v>160328.962</v>
      </c>
      <c r="D48" s="15">
        <f>'三表-利润表'!D6*D27/365</f>
        <v>194052.2536056819</v>
      </c>
      <c r="E48" s="15">
        <f>'三表-利润表'!E6*E27/365</f>
        <v>224201.62064155802</v>
      </c>
      <c r="F48" s="15">
        <f>'三表-利润表'!F6*F27/365</f>
        <v>253097.3812497683</v>
      </c>
      <c r="G48" s="15">
        <f>'三表-利润表'!G6*G27/365</f>
        <v>276605.0900207691</v>
      </c>
      <c r="H48" s="15">
        <f>'三表-利润表'!H6*H27/365</f>
        <v>296796.17825937184</v>
      </c>
    </row>
    <row r="49" ht="20" customHeight="1">
      <c r="A49" s="19" t="inlineStr">
        <is>
          <r>
            <rPr>
              <b/>
              <sz val="12"/>
              <rFont val="KaiTi"/>
              <family val="2"/>
            </rPr>
            <t xml:space="preserve">营运资本（应收 </t>
          </r>
          <r>
            <rPr>
              <b/>
              <sz val="12"/>
              <rFont val="Arial"/>
              <family val="2"/>
            </rPr>
            <t xml:space="preserve">+ </t>
          </r>
          <r>
            <rPr>
              <b/>
              <sz val="12"/>
              <rFont val="KaiTi"/>
              <family val="2"/>
            </rPr>
            <t xml:space="preserve">存货 </t>
          </r>
          <r>
            <rPr>
              <b/>
              <sz val="12"/>
              <rFont val="Arial"/>
              <family val="2"/>
            </rPr>
            <t xml:space="preserve">− </t>
          </r>
          <r>
            <rPr>
              <b/>
              <sz val="12"/>
              <rFont val="KaiTi"/>
              <family val="2"/>
            </rPr>
            <t xml:space="preserve">应付）</t>
          </r>
        </is>
      </c>
      <c r="B49" s="24">
        <f>B46+B47-B48</f>
        <v>-7006.364999999991</v>
      </c>
      <c r="C49" s="24">
        <f>C46+C47-C48</f>
        <v>10600.540999999997</v>
      </c>
      <c r="D49" s="24">
        <f>D46+D47-D48</f>
        <v>12068.591110293608</v>
      </c>
      <c r="E49" s="24">
        <f>E46+E47-E48</f>
        <v>13586.236980158108</v>
      </c>
      <c r="F49" s="24">
        <f>F46+F47-F48</f>
        <v>15099.438610143494</v>
      </c>
      <c r="G49" s="24">
        <f>G46+G47-G48</f>
        <v>16341.175910801685</v>
      </c>
      <c r="H49" s="24">
        <f>H46+H47-H48</f>
        <v>17410.85610745242</v>
      </c>
      <c r="I49" s="2"/>
      <c r="J49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经营营运资本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应收账款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存货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应付账款。</t>
          </r>
        </is>
      </c>
    </row>
    <row r="50" ht="20" customHeight="1">
      <c r="A50" s="12" t="inlineStr">
        <is>
          <r>
            <rPr>
              <sz val="12"/>
              <rFont val="KaiTi"/>
              <family val="2"/>
            </rPr>
            <t xml:space="preserve">营运资本增加</t>
          </r>
        </is>
      </c>
      <c r="B50" s="12"/>
      <c r="C50" s="15">
        <f>C49-B49</f>
        <v>17606.905999999988</v>
      </c>
      <c r="D50" s="15">
        <f>D49-C49</f>
        <v>1468.0501102936105</v>
      </c>
      <c r="E50" s="15">
        <f>E49-D49</f>
        <v>1517.6458698645001</v>
      </c>
      <c r="F50" s="15">
        <f>F49-E49</f>
        <v>1513.2016299853858</v>
      </c>
      <c r="G50" s="15">
        <f>G49-F49</f>
        <v>1241.737300658191</v>
      </c>
      <c r="H50" s="15">
        <f>H49-G49</f>
        <v>1069.6801966507337</v>
      </c>
    </row>
    <row r="51" ht="20" customHeight="1">
      <c r="A51" s="31" t="inlineStr">
        <is>
          <r>
            <rPr>
              <b/>
              <sz val="12"/>
              <rFont val="KaiTi"/>
              <family val="2"/>
            </rPr>
            <t xml:space="preserve">辅助计算：固定资产（固定资产 </t>
          </r>
          <r>
            <rPr>
              <b/>
              <sz val="12"/>
              <rFont val="Arial"/>
              <family val="2"/>
            </rPr>
            <t xml:space="preserve">+ </t>
          </r>
          <r>
            <rPr>
              <b/>
              <sz val="12"/>
              <rFont val="KaiTi"/>
              <family val="2"/>
            </rPr>
            <t xml:space="preserve">在建工程）</t>
          </r>
        </is>
      </c>
      <c r="B51" s="31"/>
      <c r="C51" s="31"/>
      <c r="D51" s="31"/>
      <c r="E51" s="31"/>
      <c r="F51" s="31"/>
      <c r="G51" s="31"/>
      <c r="H51" s="31"/>
      <c r="I51" s="31"/>
      <c r="J51" s="31"/>
    </row>
    <row r="52" ht="20" customHeight="1">
      <c r="A52" s="12" t="inlineStr">
        <is>
          <r>
            <rPr>
              <sz val="12"/>
              <rFont val="KaiTi"/>
              <family val="2"/>
            </rPr>
            <t xml:space="preserve">期初余额</t>
          </r>
        </is>
      </c>
      <c r="B52" s="12"/>
      <c r="C52" s="12"/>
      <c r="D52" s="23">
        <f>'三表-资产负债表'!C9</f>
        <v>176133.7</v>
      </c>
      <c r="E52" s="15">
        <f>D55</f>
        <v>196380.12750633812</v>
      </c>
      <c r="F52" s="15">
        <f>E55</f>
        <v>215258.62862383685</v>
      </c>
      <c r="G52" s="15">
        <f>F55</f>
        <v>231340.46960105805</v>
      </c>
      <c r="H52" s="15">
        <f>G55</f>
        <v>242789.22020851466</v>
      </c>
    </row>
    <row r="53" ht="20" customHeight="1">
      <c r="A53" s="12" t="inlineStr">
        <is>
          <r>
            <rPr>
              <sz val="12"/>
              <rFont val="KaiTi"/>
              <family val="2"/>
            </rPr>
            <t xml:space="preserve">加：资本开支</t>
          </r>
        </is>
      </c>
      <c r="B53" s="12"/>
      <c r="C53" s="12"/>
      <c r="D53" s="15">
        <f>'三表-利润表'!D5*D32</f>
        <v>50859.86865625</v>
      </c>
      <c r="E53" s="15">
        <f>'三表-利润表'!E5*E32</f>
        <v>52707.25566379709</v>
      </c>
      <c r="F53" s="15">
        <f>'三表-利润表'!F5*F32</f>
        <v>52783.66035029913</v>
      </c>
      <c r="G53" s="15">
        <f>'三表-利润表'!G5*G32</f>
        <v>50413.052828330176</v>
      </c>
      <c r="H53" s="15">
        <f>'三表-利润表'!H5*H32</f>
        <v>54045.19788753687</v>
      </c>
    </row>
    <row r="54" ht="20" customHeight="1">
      <c r="A54" s="12" t="inlineStr">
        <is>
          <r>
            <rPr>
              <sz val="12"/>
              <rFont val="KaiTi"/>
              <family val="2"/>
            </rPr>
            <t xml:space="preserve">减：折旧摊销</t>
          </r>
        </is>
      </c>
      <c r="B54" s="12"/>
      <c r="C54" s="12"/>
      <c r="D54" s="15">
        <f>(D52+0.5*D53)*D33</f>
        <v>30613.441149911887</v>
      </c>
      <c r="E54" s="15">
        <f>(E52+0.5*E53)*E33</f>
        <v>33828.75454629836</v>
      </c>
      <c r="F54" s="15">
        <f>(F52+0.5*F53)*F33</f>
        <v>36701.819373077946</v>
      </c>
      <c r="G54" s="15">
        <f>(G52+0.5*G53)*G33</f>
        <v>38964.302220873586</v>
      </c>
      <c r="H54" s="15">
        <f>(H52+0.5*H53)*H33</f>
        <v>40978.96068753585</v>
      </c>
    </row>
    <row r="55" ht="20" customHeight="1">
      <c r="A55" s="19" t="inlineStr">
        <is>
          <r>
            <rPr>
              <b/>
              <sz val="12"/>
              <rFont val="KaiTi"/>
              <family val="2"/>
            </rPr>
            <t xml:space="preserve">期末余额</t>
          </r>
        </is>
      </c>
      <c r="B55" s="21">
        <f>'三表-资产负债表'!B9</f>
        <v>142343.756</v>
      </c>
      <c r="C55" s="21">
        <f>'三表-资产负债表'!C9</f>
        <v>176133.7</v>
      </c>
      <c r="D55" s="24">
        <f>MAX(0,D52+D53-D54)</f>
        <v>196380.12750633812</v>
      </c>
      <c r="E55" s="24">
        <f>MAX(0,E52+E53-E54)</f>
        <v>215258.62862383685</v>
      </c>
      <c r="F55" s="24">
        <f>MAX(0,F52+F53-F54)</f>
        <v>231340.46960105805</v>
      </c>
      <c r="G55" s="24">
        <f>MAX(0,G52+G53-G54)</f>
        <v>242789.22020851466</v>
      </c>
      <c r="H55" s="24">
        <f>MAX(0,H52+H53-H54)</f>
        <v>255855.4574085157</v>
      </c>
      <c r="I55" s="2"/>
      <c r="J55" s="2" t="inlineStr">
        <is>
          <r>
            <rPr>
              <i/>
              <sz val="9"/>
              <color rgb="FF595959"/>
              <rFont val="KaiTi"/>
              <family val="2"/>
            </rPr>
            <t xml:space="preserve">期末 </t>
          </r>
          <r>
            <rPr>
              <i/>
              <sz val="9"/>
              <color rgb="FF595959"/>
              <rFont val="Arial"/>
              <family val="2"/>
            </rPr>
            <t xml:space="preserve">PP&amp;E = </t>
          </r>
          <r>
            <rPr>
              <i/>
              <sz val="9"/>
              <color rgb="FF595959"/>
              <rFont val="KaiTi"/>
              <family val="2"/>
            </rPr>
            <t xml:space="preserve">期初 </t>
          </r>
          <r>
            <rPr>
              <i/>
              <sz val="9"/>
              <color rgb="FF595959"/>
              <rFont val="Arial"/>
              <family val="2"/>
            </rPr>
            <t xml:space="preserve">PP&amp;E + </t>
          </r>
          <r>
            <rPr>
              <i/>
              <sz val="9"/>
              <color rgb="FF595959"/>
              <rFont val="KaiTi"/>
              <family val="2"/>
            </rPr>
            <t xml:space="preserve">资本开支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折旧摊销。</t>
          </r>
        </is>
      </c>
    </row>
    <row r="56" ht="20" customHeight="1">
      <c r="A56" s="31" t="inlineStr">
        <is>
          <r>
            <rPr>
              <b/>
              <sz val="12"/>
              <rFont val="KaiTi"/>
              <family val="2"/>
            </rPr>
            <t xml:space="preserve">辅助计算：有息负债与利息</t>
          </r>
        </is>
      </c>
      <c r="B56" s="31"/>
      <c r="C56" s="31"/>
      <c r="D56" s="31"/>
      <c r="E56" s="31"/>
      <c r="F56" s="31"/>
      <c r="G56" s="31"/>
      <c r="H56" s="31"/>
      <c r="I56" s="31"/>
      <c r="J56" s="31"/>
    </row>
    <row r="57" ht="20" customHeight="1">
      <c r="A57" s="12" t="inlineStr">
        <is>
          <r>
            <rPr>
              <sz val="12"/>
              <rFont val="KaiTi"/>
              <family val="2"/>
            </rPr>
            <t xml:space="preserve">期初余额</t>
          </r>
        </is>
      </c>
      <c r="B57" s="12"/>
      <c r="C57" s="12"/>
      <c r="D57" s="23">
        <f>'三表-资产负债表'!C14</f>
        <v>119656.488</v>
      </c>
      <c r="E57" s="15">
        <f>D59</f>
        <v>119656.488</v>
      </c>
      <c r="F57" s="15">
        <f>E59</f>
        <v>119656.488</v>
      </c>
      <c r="G57" s="15">
        <f>F59</f>
        <v>119656.488</v>
      </c>
      <c r="H57" s="15">
        <f>G59</f>
        <v>119656.488</v>
      </c>
    </row>
    <row r="58" ht="20" customHeight="1">
      <c r="A58" s="12" t="inlineStr">
        <is>
          <r>
            <rPr>
              <sz val="12"/>
              <rFont val="KaiTi"/>
              <family val="2"/>
            </rPr>
            <t xml:space="preserve">减：偿还</t>
          </r>
        </is>
      </c>
      <c r="B58" s="12"/>
      <c r="C58" s="12"/>
      <c r="D58" s="15">
        <f>MIN(MAX(0,D35),D57)</f>
        <v>0.0</v>
      </c>
      <c r="E58" s="15">
        <f>MIN(MAX(0,E35),E57)</f>
        <v>0.0</v>
      </c>
      <c r="F58" s="15">
        <f>MIN(MAX(0,F35),F57)</f>
        <v>0.0</v>
      </c>
      <c r="G58" s="15">
        <f>MIN(MAX(0,G35),G57)</f>
        <v>0.0</v>
      </c>
      <c r="H58" s="15">
        <f>MIN(MAX(0,H35),H57)</f>
        <v>0.0</v>
      </c>
    </row>
    <row r="59" ht="20" customHeight="1">
      <c r="A59" s="19" t="inlineStr">
        <is>
          <r>
            <rPr>
              <b/>
              <sz val="12"/>
              <rFont val="KaiTi"/>
              <family val="2"/>
            </rPr>
            <t xml:space="preserve">期末余额</t>
          </r>
        </is>
      </c>
      <c r="B59" s="21">
        <f>'三表-资产负债表'!B14</f>
        <v>136401.592</v>
      </c>
      <c r="C59" s="21">
        <f>'三表-资产负债表'!C14</f>
        <v>119656.488</v>
      </c>
      <c r="D59" s="24">
        <f>D57-D58</f>
        <v>119656.488</v>
      </c>
      <c r="E59" s="24">
        <f>E57-E58</f>
        <v>119656.488</v>
      </c>
      <c r="F59" s="24">
        <f>F57-F58</f>
        <v>119656.488</v>
      </c>
      <c r="G59" s="24">
        <f>G57-G58</f>
        <v>119656.488</v>
      </c>
      <c r="H59" s="24">
        <f>H57-H58</f>
        <v>119656.488</v>
      </c>
      <c r="I59" s="2"/>
      <c r="J59" s="2" t="inlineStr">
        <is>
          <r>
            <rPr>
              <i/>
              <sz val="9"/>
              <color rgb="FF595959"/>
              <rFont val="KaiTi"/>
              <family val="2"/>
            </rPr>
            <t xml:space="preserve">期末有息负债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期初有息负债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计划偿还。</t>
          </r>
        </is>
      </c>
    </row>
    <row r="60" ht="20" customHeight="1">
      <c r="A60" s="12" t="inlineStr">
        <is>
          <r>
            <rPr>
              <sz val="12"/>
              <rFont val="KaiTi"/>
              <family val="2"/>
            </rPr>
            <t xml:space="preserve">利息费用（负数为净利息收入）</t>
          </r>
        </is>
      </c>
      <c r="B60" s="12"/>
      <c r="C60" s="12"/>
      <c r="D60" s="15">
        <f>MAX(0,D57-0.5*D58)*D34</f>
        <v>-7420.629896007531</v>
      </c>
      <c r="E60" s="15">
        <f>MAX(0,E57-0.5*E58)*E34</f>
        <v>-7420.629896007531</v>
      </c>
      <c r="F60" s="15">
        <f>MAX(0,F57-0.5*F58)*F34</f>
        <v>-7420.629896007531</v>
      </c>
      <c r="G60" s="15">
        <f>MAX(0,G57-0.5*G58)*G34</f>
        <v>-7420.629896007531</v>
      </c>
      <c r="H60" s="15">
        <f>MAX(0,H57-0.5*H58)*H34</f>
        <v>-7420.629896007531</v>
      </c>
    </row>
    <row r="61" ht="20" customHeight="1">
      <c r="A61" s="31" t="inlineStr">
        <is>
          <r>
            <rPr>
              <b/>
              <sz val="12"/>
              <rFont val="KaiTi"/>
              <family val="2"/>
            </rPr>
            <t xml:space="preserve">辅助计算：现金分红</t>
          </r>
        </is>
      </c>
      <c r="B61" s="31"/>
      <c r="C61" s="31"/>
      <c r="D61" s="31"/>
      <c r="E61" s="31"/>
      <c r="F61" s="31"/>
      <c r="G61" s="31"/>
      <c r="H61" s="31"/>
      <c r="I61" s="31"/>
      <c r="J61" s="31"/>
    </row>
    <row r="62" ht="20" customHeight="1">
      <c r="A62" s="12" t="inlineStr">
        <is>
          <r>
            <rPr>
              <sz val="12"/>
              <rFont val="KaiTi"/>
              <family val="2"/>
            </rPr>
            <t xml:space="preserve">现金分红</t>
          </r>
        </is>
      </c>
      <c r="B62" s="12"/>
      <c r="C62" s="12"/>
      <c r="D62" s="15">
        <f>MAX(0,'三表-利润表'!D17)*D20</f>
        <v>38896.94641181843</v>
      </c>
      <c r="E62" s="15">
        <f>MAX(0,'三表-利润表'!E17)*E20</f>
        <v>44284.44267794304</v>
      </c>
      <c r="F62" s="15">
        <f>MAX(0,'三表-利润表'!F17)*F20</f>
        <v>49672.31298245446</v>
      </c>
      <c r="G62" s="15">
        <f>MAX(0,'三表-利润表'!G17)*G20</f>
        <v>54112.23896633666</v>
      </c>
      <c r="H62" s="15">
        <f>MAX(0,'三表-利润表'!H17)*H20</f>
        <v>57902.35237717192</v>
      </c>
    </row>
  </sheetData>
  <pageMargins left="0.5" right="0.5" top="0.6" bottom="0.6" header="0.3" footer="0.3"/>
  <pageSetup paperSize="9" orientation="landscape" fitToWidth="1" fitToHeight="0"/>
</worksheet>
</file>

<file path=xl/worksheets/sheet9.xml><?xml version="1.0" encoding="utf-8"?>
<worksheet xmlns="http://schemas.openxmlformats.org/spreadsheetml/2006/main">
  <sheetPr>
    <tabColor rgb="FF1F3864"/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0.0" customWidth="1"/>
    <col min="2" max="2" width="12.0" customWidth="1"/>
    <col min="3" max="3" width="12.0" customWidth="1"/>
    <col min="4" max="4" width="12.0" customWidth="1"/>
    <col min="5" max="5" width="12.0" customWidth="1"/>
    <col min="6" max="6" width="12.0" customWidth="1"/>
    <col min="7" max="7" width="12.0" customWidth="1"/>
    <col min="8" max="8" width="12.0" customWidth="1"/>
    <col min="9" max="9" width="2.5" customWidth="1"/>
    <col min="10" max="10" width="6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三表联动模型：利润表（情景见</t>
          </r>
          <r>
            <rPr>
              <b/>
              <sz val="14"/>
              <color rgb="FF1F3864"/>
              <rFont val="Arial"/>
              <family val="2"/>
            </rPr>
            <t xml:space="preserve">“</t>
          </r>
          <r>
            <rPr>
              <b/>
              <sz val="14"/>
              <color rgb="FF1F3864"/>
              <rFont val="KaiTi"/>
              <family val="2"/>
            </rPr>
            <t xml:space="preserve">三表</t>
          </r>
          <r>
            <rPr>
              <b/>
              <sz val="14"/>
              <color rgb="FF1F3864"/>
              <rFont val="Arial"/>
              <family val="2"/>
            </rPr>
            <t xml:space="preserve">-</t>
          </r>
          <r>
            <rPr>
              <b/>
              <sz val="14"/>
              <color rgb="FF1F3864"/>
              <rFont val="KaiTi"/>
              <family val="2"/>
            </rPr>
            <t xml:space="preserve">假设</t>
          </r>
          <r>
            <rPr>
              <b/>
              <sz val="14"/>
              <color rgb="FF1F3864"/>
              <rFont val="Arial"/>
              <family val="2"/>
            </rPr>
            <t xml:space="preserve">”B5</t>
          </r>
          <r>
            <rPr>
              <b/>
              <sz val="14"/>
              <color rgb="FF1F3864"/>
              <rFont val="KaiTi"/>
              <family val="2"/>
            </rPr>
            <t xml:space="preserve">，默认基准）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单位：百万元；蓝色为输入（报表值、驱动假设），黑色为公式，绿色为跨表引用；预测期由</t>
          </r>
          <r>
            <rPr>
              <i/>
              <sz val="9"/>
              <color rgb="FF595959"/>
              <rFont val="Arial"/>
              <family val="2"/>
            </rPr>
            <t xml:space="preserve">“</t>
          </r>
          <r>
            <rPr>
              <i/>
              <sz val="9"/>
              <color rgb="FF595959"/>
              <rFont val="KaiTi"/>
              <family val="2"/>
            </rPr>
            <t xml:space="preserve">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假设</t>
          </r>
          <r>
            <rPr>
              <i/>
              <sz val="9"/>
              <color rgb="FF595959"/>
              <rFont val="Arial"/>
              <family val="2"/>
            </rPr>
            <t xml:space="preserve">”</t>
          </r>
          <r>
            <rPr>
              <i/>
              <sz val="9"/>
              <color rgb="FF595959"/>
              <rFont val="KaiTi"/>
              <family val="2"/>
            </rPr>
            <t xml:space="preserve">驱动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利润表（百万元）</t>
          </r>
        </is>
      </c>
      <c r="B4" s="3" t="inlineStr">
        <is>
          <t xml:space="preserve">FY2024A</t>
        </is>
      </c>
      <c r="C4" s="3" t="inlineStr">
        <is>
          <t xml:space="preserve">FY2025A</t>
        </is>
      </c>
      <c r="D4" s="3" t="inlineStr">
        <is>
          <t xml:space="preserve">FY2026E</t>
        </is>
      </c>
      <c r="E4" s="3" t="inlineStr">
        <is>
          <t xml:space="preserve">FY2027E</t>
        </is>
      </c>
      <c r="F4" s="3" t="inlineStr">
        <is>
          <t xml:space="preserve">FY2028E</t>
        </is>
      </c>
      <c r="G4" s="3" t="inlineStr">
        <is>
          <t xml:space="preserve">FY2029E</t>
        </is>
      </c>
      <c r="H4" s="3" t="inlineStr">
        <is>
          <t xml:space="preserve">FY2030E</t>
        </is>
      </c>
      <c r="I4" s="2"/>
      <c r="J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5" ht="20" customHeight="1">
      <c r="A5" s="19" t="inlineStr">
        <is>
          <r>
            <rPr>
              <b/>
              <sz val="12"/>
              <rFont val="KaiTi"/>
              <family val="2"/>
            </rPr>
            <t xml:space="preserve">营业收入</t>
          </r>
        </is>
      </c>
      <c r="B5" s="20">
        <v>362012.554</v>
      </c>
      <c r="C5" s="20">
        <v>423701.834</v>
      </c>
      <c r="D5" s="24">
        <f>C5*(1+'三表-假设'!D10)</f>
        <v>508598.68656249996</v>
      </c>
      <c r="E5" s="24">
        <f>D5*(1+'三表-假设'!E10)</f>
        <v>585636.17404219</v>
      </c>
      <c r="F5" s="24">
        <f>E5*(1+'三表-假设'!F10)</f>
        <v>659795.754378739</v>
      </c>
      <c r="G5" s="24">
        <f>F5*(1+'三表-假设'!G10)</f>
        <v>720186.4689761453</v>
      </c>
      <c r="H5" s="24">
        <f>G5*(1+'三表-假设'!H10)</f>
        <v>772074.255536241</v>
      </c>
      <c r="I5" s="2"/>
      <c r="J5" s="2" t="inlineStr">
        <is>
          <r>
            <rPr>
              <i/>
              <sz val="9"/>
              <color rgb="FF595959"/>
              <rFont val="KaiTi"/>
              <family val="2"/>
            </rPr>
            <t xml:space="preserve">实际期取合并利润表；预测期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上年收入 </t>
          </r>
          <r>
            <rPr>
              <i/>
              <sz val="9"/>
              <color rgb="FF595959"/>
              <rFont val="Arial"/>
              <family val="2"/>
            </rPr>
            <t xml:space="preserve">× (1 + </t>
          </r>
          <r>
            <rPr>
              <i/>
              <sz val="9"/>
              <color rgb="FF595959"/>
              <rFont val="KaiTi"/>
              <family val="2"/>
            </rPr>
            <t xml:space="preserve">收入增速</t>
          </r>
          <r>
            <rPr>
              <i/>
              <sz val="9"/>
              <color rgb="FF595959"/>
              <rFont val="Arial"/>
              <family val="2"/>
            </rPr>
            <t xml:space="preserve">)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营业成本</t>
          </r>
        </is>
      </c>
      <c r="B6" s="22">
        <v>273518.959</v>
      </c>
      <c r="C6" s="22">
        <v>312383.297</v>
      </c>
      <c r="D6" s="15">
        <f>D5*(1-'三表-假设'!D14)</f>
        <v>378089.4107679875</v>
      </c>
      <c r="E6" s="15">
        <f>E5*(1-'三表-假设'!E14)</f>
        <v>436832.12674172467</v>
      </c>
      <c r="F6" s="15">
        <f>F5*(1-'三表-假设'!F14)</f>
        <v>493132.3288731116</v>
      </c>
      <c r="G6" s="15">
        <f>G5*(1-'三表-假设'!G14)</f>
        <v>538934.5063412165</v>
      </c>
      <c r="H6" s="15">
        <f>H5*(1-'三表-假设'!H14)</f>
        <v>578274.614549443</v>
      </c>
      <c r="I6" s="2"/>
      <c r="J6" s="2" t="inlineStr">
        <is>
          <r>
            <rPr>
              <i/>
              <sz val="9"/>
              <color rgb="FF595959"/>
              <rFont val="KaiTi"/>
              <family val="2"/>
            </rPr>
            <t xml:space="preserve">营业成本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营业收入 </t>
          </r>
          <r>
            <rPr>
              <i/>
              <sz val="9"/>
              <color rgb="FF595959"/>
              <rFont val="Arial"/>
              <family val="2"/>
            </rPr>
            <t xml:space="preserve">× (1 − </t>
          </r>
          <r>
            <rPr>
              <i/>
              <sz val="9"/>
              <color rgb="FF595959"/>
              <rFont val="KaiTi"/>
              <family val="2"/>
            </rPr>
            <t xml:space="preserve">毛利率</t>
          </r>
          <r>
            <rPr>
              <i/>
              <sz val="9"/>
              <color rgb="FF595959"/>
              <rFont val="Arial"/>
              <family val="2"/>
            </rPr>
            <t xml:space="preserve">)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7" ht="20" customHeight="1">
      <c r="A7" s="19" t="inlineStr">
        <is>
          <r>
            <rPr>
              <b/>
              <sz val="12"/>
              <rFont val="KaiTi"/>
              <family val="2"/>
            </rPr>
            <t xml:space="preserve">毛利</t>
          </r>
        </is>
      </c>
      <c r="B7" s="24">
        <f>B5-B6</f>
        <v>88493.59500000003</v>
      </c>
      <c r="C7" s="24">
        <f>C5-C6</f>
        <v>111318.53699999995</v>
      </c>
      <c r="D7" s="24">
        <f>D5-D6</f>
        <v>130509.27579451248</v>
      </c>
      <c r="E7" s="24">
        <f>E5-E6</f>
        <v>148804.0473004653</v>
      </c>
      <c r="F7" s="24">
        <f>F5-F6</f>
        <v>166663.42550562747</v>
      </c>
      <c r="G7" s="24">
        <f>G5-G6</f>
        <v>181251.96263492876</v>
      </c>
      <c r="H7" s="24">
        <f>H5-H6</f>
        <v>193799.64098679798</v>
      </c>
      <c r="I7" s="2"/>
      <c r="J7" s="2" t="inlineStr">
        <is>
          <r>
            <rPr>
              <i/>
              <sz val="9"/>
              <color rgb="FF595959"/>
              <rFont val="KaiTi"/>
              <family val="2"/>
            </rPr>
            <t xml:space="preserve">毛利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营业收入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营业成本。</t>
          </r>
        </is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经营费用（不含折旧摊销）</t>
          </r>
        </is>
      </c>
      <c r="B8" s="22">
        <v>11187.247000000032</v>
      </c>
      <c r="C8" s="22">
        <v>13841.705999999962</v>
      </c>
      <c r="D8" s="15">
        <f>D5*'三表-假设'!D18</f>
        <v>16615.15935610573</v>
      </c>
      <c r="E8" s="15">
        <f>E5*'三表-假设'!E18</f>
        <v>19131.85899510835</v>
      </c>
      <c r="F8" s="15">
        <f>F5*'三表-假设'!F18</f>
        <v>21554.54170670098</v>
      </c>
      <c r="G8" s="15">
        <f>G5*'三表-假设'!G18</f>
        <v>23527.41614223435</v>
      </c>
      <c r="H8" s="15">
        <f>H5*'三表-假设'!H18</f>
        <v>25222.51262028168</v>
      </c>
    </row>
    <row r="9" ht="20" customHeight="1">
      <c r="A9" s="19" t="inlineStr">
        <is>
          <t xml:space="preserve">EBITDA</t>
        </is>
      </c>
      <c r="B9" s="24">
        <f>B7-B8</f>
        <v>77306.348</v>
      </c>
      <c r="C9" s="24">
        <f>C7-C8</f>
        <v>97476.83099999999</v>
      </c>
      <c r="D9" s="24">
        <f>D7-D8</f>
        <v>113894.11643840675</v>
      </c>
      <c r="E9" s="24">
        <f>E7-E8</f>
        <v>129672.18830535695</v>
      </c>
      <c r="F9" s="24">
        <f>F7-F8</f>
        <v>145108.8837989265</v>
      </c>
      <c r="G9" s="24">
        <f>G7-G8</f>
        <v>157724.5464926944</v>
      </c>
      <c r="H9" s="24">
        <f>H7-H8</f>
        <v>168577.1283665163</v>
      </c>
    </row>
    <row r="10" ht="20" customHeight="1">
      <c r="A10" s="12" t="inlineStr">
        <is>
          <r>
            <rPr>
              <sz val="12"/>
              <rFont val="KaiTi"/>
              <family val="2"/>
            </rPr>
            <t xml:space="preserve">折旧摊销</t>
          </r>
        </is>
      </c>
      <c r="B10" s="22">
        <v>22908.273</v>
      </c>
      <c r="C10" s="22">
        <v>24834.78</v>
      </c>
      <c r="D10" s="23">
        <f>'三表-假设'!D54</f>
        <v>30613.441149911887</v>
      </c>
      <c r="E10" s="23">
        <f>'三表-假设'!E54</f>
        <v>33828.75454629836</v>
      </c>
      <c r="F10" s="23">
        <f>'三表-假设'!F54</f>
        <v>36701.819373077946</v>
      </c>
      <c r="G10" s="23">
        <f>'三表-假设'!G54</f>
        <v>38964.302220873586</v>
      </c>
      <c r="H10" s="23">
        <f>'三表-假设'!H54</f>
        <v>40978.96068753585</v>
      </c>
    </row>
    <row r="11" ht="20" customHeight="1">
      <c r="A11" s="19" t="inlineStr">
        <is>
          <r>
            <rPr>
              <b/>
              <sz val="12"/>
              <rFont val="Arial"/>
              <family val="2"/>
            </rPr>
            <t xml:space="preserve">EBIT</t>
          </r>
          <r>
            <rPr>
              <b/>
              <sz val="12"/>
              <rFont val="KaiTi"/>
              <family val="2"/>
            </rPr>
            <t xml:space="preserve">（经营性）</t>
          </r>
        </is>
      </c>
      <c r="B11" s="24">
        <f>B9-B10</f>
        <v>54398.075</v>
      </c>
      <c r="C11" s="24">
        <f>C9-C10</f>
        <v>72642.05099999999</v>
      </c>
      <c r="D11" s="24">
        <f>D9-D10</f>
        <v>83280.67528849487</v>
      </c>
      <c r="E11" s="24">
        <f>E9-E10</f>
        <v>95843.4337590586</v>
      </c>
      <c r="F11" s="24">
        <f>F9-F10</f>
        <v>108407.06442584854</v>
      </c>
      <c r="G11" s="24">
        <f>G9-G10</f>
        <v>118760.24427182082</v>
      </c>
      <c r="H11" s="24">
        <f>H9-H10</f>
        <v>127598.16767898045</v>
      </c>
      <c r="I11" s="2"/>
      <c r="J11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 </t>
          </r>
          <r>
            <rPr>
              <i/>
              <sz val="9"/>
              <color rgb="FF595959"/>
              <rFont val="Arial"/>
              <family val="2"/>
            </rPr>
            <t xml:space="preserve">EBIT = </t>
          </r>
          <r>
            <rPr>
              <i/>
              <sz val="9"/>
              <color rgb="FF595959"/>
              <rFont val="KaiTi"/>
              <family val="2"/>
            </rPr>
            <t xml:space="preserve">毛利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经营费用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折旧摊销；不含投资收益与公允价值变动收益。</t>
          </r>
        </is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利息费用（财务费用）</t>
          </r>
        </is>
      </c>
      <c r="B12" s="22">
        <v>-4131.918</v>
      </c>
      <c r="C12" s="22">
        <v>-7939.863</v>
      </c>
      <c r="D12" s="23">
        <f>'三表-假设'!D60</f>
        <v>-7420.629896007531</v>
      </c>
      <c r="E12" s="23">
        <f>'三表-假设'!E60</f>
        <v>-7420.629896007531</v>
      </c>
      <c r="F12" s="23">
        <f>'三表-假设'!F60</f>
        <v>-7420.629896007531</v>
      </c>
      <c r="G12" s="23">
        <f>'三表-假设'!G60</f>
        <v>-7420.629896007531</v>
      </c>
      <c r="H12" s="23">
        <f>'三表-假设'!H60</f>
        <v>-7420.629896007531</v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经营性税前利润</t>
          </r>
        </is>
      </c>
      <c r="B13" s="15">
        <f>B11-B12</f>
        <v>58529.992999999995</v>
      </c>
      <c r="C13" s="15">
        <f>C11-C12</f>
        <v>80581.91399999999</v>
      </c>
      <c r="D13" s="15">
        <f>D11-D12</f>
        <v>90701.3051845024</v>
      </c>
      <c r="E13" s="15">
        <f>E11-E12</f>
        <v>103264.06365506613</v>
      </c>
      <c r="F13" s="15">
        <f>F11-F12</f>
        <v>115827.69432185608</v>
      </c>
      <c r="G13" s="15">
        <f>G11-G12</f>
        <v>126180.87416782835</v>
      </c>
      <c r="H13" s="15">
        <f>H11-H12</f>
        <v>135018.79757498798</v>
      </c>
    </row>
    <row r="14" ht="20" customHeight="1">
      <c r="A14" s="12" t="inlineStr">
        <is>
          <r>
            <rPr>
              <sz val="12"/>
              <rFont val="KaiTi"/>
              <family val="2"/>
            </rPr>
            <t xml:space="preserve">加：投资收益与公允价值变动</t>
          </r>
        </is>
      </c>
      <c r="B14" s="22">
        <v>4652.046</v>
      </c>
      <c r="C14" s="22">
        <v>8944.631</v>
      </c>
      <c r="D14" s="22">
        <v>0.0</v>
      </c>
      <c r="E14" s="22">
        <v>0.0</v>
      </c>
      <c r="F14" s="22">
        <v>0.0</v>
      </c>
      <c r="G14" s="22">
        <v>0.0</v>
      </c>
      <c r="H14" s="22">
        <v>0.0</v>
      </c>
    </row>
    <row r="15" ht="20" customHeight="1">
      <c r="A15" s="19" t="inlineStr">
        <is>
          <r>
            <rPr>
              <b/>
              <sz val="12"/>
              <rFont val="KaiTi"/>
              <family val="2"/>
            </rPr>
            <t xml:space="preserve">利润总额</t>
          </r>
        </is>
      </c>
      <c r="B15" s="24">
        <f>B13+B14</f>
        <v>63182.039</v>
      </c>
      <c r="C15" s="24">
        <f>C13+C14</f>
        <v>89526.54499999998</v>
      </c>
      <c r="D15" s="24">
        <f>D13+D14</f>
        <v>90701.3051845024</v>
      </c>
      <c r="E15" s="24">
        <f>E13+E14</f>
        <v>103264.06365506613</v>
      </c>
      <c r="F15" s="24">
        <f>F13+F14</f>
        <v>115827.69432185608</v>
      </c>
      <c r="G15" s="24">
        <f>G13+G14</f>
        <v>126180.87416782835</v>
      </c>
      <c r="H15" s="24">
        <f>H13+H14</f>
        <v>135018.79757498798</v>
      </c>
      <c r="I15" s="2"/>
      <c r="J15" s="2" t="inlineStr">
        <is>
          <r>
            <rPr>
              <i/>
              <sz val="9"/>
              <color rgb="FF595959"/>
              <rFont val="KaiTi"/>
              <family val="2"/>
            </rPr>
            <t xml:space="preserve">利润总额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经营 </t>
          </r>
          <r>
            <rPr>
              <i/>
              <sz val="9"/>
              <color rgb="FF595959"/>
              <rFont val="Arial"/>
              <family val="2"/>
            </rPr>
            <t xml:space="preserve">EBIT − </t>
          </r>
          <r>
            <rPr>
              <i/>
              <sz val="9"/>
              <color rgb="FF595959"/>
              <rFont val="KaiTi"/>
              <family val="2"/>
            </rPr>
            <t xml:space="preserve">利息费用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投资收益及公允价值变动收益。</t>
          </r>
        </is>
      </c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减：所得税</t>
          </r>
        </is>
      </c>
      <c r="B16" s="22">
        <v>9175.245</v>
      </c>
      <c r="C16" s="22">
        <v>12740.236</v>
      </c>
      <c r="D16" s="15">
        <f>MAX(D15,0)*'三表-假设'!D19</f>
        <v>12907.412360865532</v>
      </c>
      <c r="E16" s="15">
        <f>MAX(E15,0)*'三表-假设'!E19</f>
        <v>14695.178299180037</v>
      </c>
      <c r="F16" s="15">
        <f>MAX(F15,0)*'三表-假设'!F19</f>
        <v>16483.068356947166</v>
      </c>
      <c r="G16" s="15">
        <f>MAX(G15,0)*'三表-假设'!G19</f>
        <v>17956.396235155025</v>
      </c>
      <c r="H16" s="15">
        <f>MAX(H15,0)*'三表-假设'!H19</f>
        <v>19214.092820644142</v>
      </c>
    </row>
    <row r="17" ht="20" customHeight="1">
      <c r="A17" s="5" t="inlineStr">
        <is>
          <r>
            <rPr>
              <sz val="12"/>
              <rFont val="KaiTi"/>
              <family val="2"/>
            </rPr>
            <t xml:space="preserve">净利润</t>
          </r>
        </is>
      </c>
      <c r="B17" s="8">
        <f>B15-B16</f>
        <v>54006.793999999994</v>
      </c>
      <c r="C17" s="8">
        <f>C15-C16</f>
        <v>76786.30899999998</v>
      </c>
      <c r="D17" s="8">
        <f>D15-D16</f>
        <v>77793.89282363687</v>
      </c>
      <c r="E17" s="8">
        <f>E15-E16</f>
        <v>88568.88535588609</v>
      </c>
      <c r="F17" s="8">
        <f>F15-F16</f>
        <v>99344.62596490892</v>
      </c>
      <c r="G17" s="8">
        <f>G15-G16</f>
        <v>108224.47793267333</v>
      </c>
      <c r="H17" s="8">
        <f>H15-H16</f>
        <v>115804.70475434384</v>
      </c>
      <c r="I17" s="2"/>
      <c r="J17" s="2" t="inlineStr">
        <is>
          <r>
            <rPr>
              <i/>
              <sz val="9"/>
              <color rgb="FF595959"/>
              <rFont val="KaiTi"/>
              <family val="2"/>
            </rPr>
            <t xml:space="preserve">净利润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利润总额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所得税费用。</t>
          </r>
        </is>
      </c>
    </row>
    <row r="18" ht="20" customHeight="1"/>
    <row r="19" ht="20" customHeight="1">
      <c r="A19" s="31" t="inlineStr">
        <is>
          <r>
            <rPr>
              <b/>
              <sz val="12"/>
              <rFont val="KaiTi"/>
              <family val="2"/>
            </rPr>
            <t xml:space="preserve">主要比率</t>
          </r>
        </is>
      </c>
      <c r="B19" s="31"/>
      <c r="C19" s="31"/>
      <c r="D19" s="31"/>
      <c r="E19" s="31"/>
      <c r="F19" s="31"/>
      <c r="G19" s="31"/>
      <c r="H19" s="31"/>
      <c r="I19" s="31"/>
      <c r="J19" s="31"/>
    </row>
    <row r="20" ht="20" customHeight="1">
      <c r="A20" s="12" t="inlineStr">
        <is>
          <r>
            <rPr>
              <sz val="12"/>
              <rFont val="KaiTi"/>
              <family val="2"/>
            </rPr>
            <t xml:space="preserve">营业收入增长率</t>
          </r>
        </is>
      </c>
      <c r="B20" s="12"/>
      <c r="C20" s="14">
        <f>C5/B5-1</f>
        <v>0.17040646606968224</v>
      </c>
      <c r="D20" s="14">
        <f>D5/C5-1</f>
        <v>0.2003693299153857</v>
      </c>
      <c r="E20" s="14">
        <f>E5/D5-1</f>
        <v>0.1514700873499466</v>
      </c>
      <c r="F20" s="14">
        <f>F5/E5-1</f>
        <v>0.12663080530815463</v>
      </c>
      <c r="G20" s="14">
        <f>G5/F5-1</f>
        <v>0.09152940769415818</v>
      </c>
      <c r="H20" s="14">
        <f>H5/G5-1</f>
        <v>0.0720477109683304</v>
      </c>
    </row>
    <row r="21" ht="20" customHeight="1">
      <c r="A21" s="12" t="inlineStr">
        <is>
          <r>
            <rPr>
              <sz val="12"/>
              <rFont val="KaiTi"/>
              <family val="2"/>
            </rPr>
            <t xml:space="preserve">毛利率</t>
          </r>
        </is>
      </c>
      <c r="B21" s="14">
        <f>B7/B5</f>
        <v>0.24444896736923669</v>
      </c>
      <c r="C21" s="14">
        <f>C7/C5</f>
        <v>0.2627284757044501</v>
      </c>
      <c r="D21" s="14">
        <f>D7/D5</f>
        <v>0.25660560918195496</v>
      </c>
      <c r="E21" s="14">
        <f>E7/E5</f>
        <v>0.25408957625241446</v>
      </c>
      <c r="F21" s="14">
        <f>F7/F5</f>
        <v>0.2525985115841751</v>
      </c>
      <c r="G21" s="14">
        <f>G7/G5</f>
        <v>0.25167365736905056</v>
      </c>
      <c r="H21" s="14">
        <f>H7/H5</f>
        <v>0.2510116605975875</v>
      </c>
    </row>
    <row r="22" ht="20" customHeight="1">
      <c r="A22" s="12" t="inlineStr">
        <is>
          <r>
            <rPr>
              <sz val="12"/>
              <rFont val="Arial"/>
              <family val="2"/>
            </rPr>
            <t xml:space="preserve">EBIT </t>
          </r>
          <r>
            <rPr>
              <sz val="12"/>
              <rFont val="KaiTi"/>
              <family val="2"/>
            </rPr>
            <t xml:space="preserve">利润率</t>
          </r>
        </is>
      </c>
      <c r="B22" s="14">
        <f>B11/B5</f>
        <v>0.15026571426580967</v>
      </c>
      <c r="C22" s="14">
        <f>C11/C5</f>
        <v>0.1714461566385384</v>
      </c>
      <c r="D22" s="14">
        <f>D11/D5</f>
        <v>0.1637453605147303</v>
      </c>
      <c r="E22" s="14">
        <f>E11/E5</f>
        <v>0.16365695632755417</v>
      </c>
      <c r="F22" s="14">
        <f>F11/F5</f>
        <v>0.16430397392890803</v>
      </c>
      <c r="G22" s="14">
        <f>G11/G5</f>
        <v>0.16490207659782416</v>
      </c>
      <c r="H22" s="14">
        <f>H11/H5</f>
        <v>0.1652667042891589</v>
      </c>
    </row>
    <row r="23" ht="20" customHeight="1">
      <c r="A23" s="12" t="inlineStr">
        <is>
          <r>
            <rPr>
              <sz val="12"/>
              <rFont val="KaiTi"/>
              <family val="2"/>
            </rPr>
            <t xml:space="preserve">净利率</t>
          </r>
        </is>
      </c>
      <c r="B23" s="14">
        <f>B17/B5</f>
        <v>0.1491848650088527</v>
      </c>
      <c r="C23" s="14">
        <f>C17/C5</f>
        <v>0.18122722829658552</v>
      </c>
      <c r="D23" s="14">
        <f>D17/D5</f>
        <v>0.15295732151694622</v>
      </c>
      <c r="E23" s="14">
        <f>E17/E5</f>
        <v>0.15123533907505085</v>
      </c>
      <c r="F23" s="14">
        <f>F17/F5</f>
        <v>0.15056875602124994</v>
      </c>
      <c r="G23" s="14">
        <f>G17/G5</f>
        <v>0.1502728565374616</v>
      </c>
      <c r="H23" s="14">
        <f>H17/H5</f>
        <v>0.1499916671537146</v>
      </c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有效税率</t>
          </r>
        </is>
      </c>
      <c r="B24" s="14">
        <f>B16/B15</f>
        <v>0.14521919750009968</v>
      </c>
      <c r="C24" s="14">
        <f>C16/C15</f>
        <v>0.14230679850317024</v>
      </c>
      <c r="D24" s="14">
        <f>D16/D15</f>
        <v>0.1423067985031702</v>
      </c>
      <c r="E24" s="14">
        <f>E16/E15</f>
        <v>0.1423067985031702</v>
      </c>
      <c r="F24" s="14">
        <f>F16/F15</f>
        <v>0.1423067985031702</v>
      </c>
      <c r="G24" s="14">
        <f>G16/G15</f>
        <v>0.1423067985031702</v>
      </c>
      <c r="H24" s="14">
        <f>H16/H15</f>
        <v>0.1423067985031702</v>
      </c>
    </row>
  </sheetData>
  <pageMargins left="0.5" right="0.5" top="0.6" bottom="0.6" header="0.3" footer="0.3"/>
  <pageSetup paperSize="9" orientation="landscape" fitToWidth="1" fitToHeight="0"/>
</worksheet>
</file>

<file path=xl/worksheets/sheet10.xml><?xml version="1.0" encoding="utf-8"?>
<worksheet xmlns="http://schemas.openxmlformats.org/spreadsheetml/2006/main">
  <sheetPr>
    <tabColor rgb="FF1F3864"/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0.0" customWidth="1"/>
    <col min="2" max="2" width="12.0" customWidth="1"/>
    <col min="3" max="3" width="12.0" customWidth="1"/>
    <col min="4" max="4" width="12.0" customWidth="1"/>
    <col min="5" max="5" width="12.0" customWidth="1"/>
    <col min="6" max="6" width="12.0" customWidth="1"/>
    <col min="7" max="7" width="12.0" customWidth="1"/>
    <col min="8" max="8" width="12.0" customWidth="1"/>
    <col min="9" max="9" width="2.5" customWidth="1"/>
    <col min="10" max="10" width="6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三表联动模型：资产负债表（情景见</t>
          </r>
          <r>
            <rPr>
              <b/>
              <sz val="14"/>
              <color rgb="FF1F3864"/>
              <rFont val="Arial"/>
              <family val="2"/>
            </rPr>
            <t xml:space="preserve">“</t>
          </r>
          <r>
            <rPr>
              <b/>
              <sz val="14"/>
              <color rgb="FF1F3864"/>
              <rFont val="KaiTi"/>
              <family val="2"/>
            </rPr>
            <t xml:space="preserve">三表</t>
          </r>
          <r>
            <rPr>
              <b/>
              <sz val="14"/>
              <color rgb="FF1F3864"/>
              <rFont val="Arial"/>
              <family val="2"/>
            </rPr>
            <t xml:space="preserve">-</t>
          </r>
          <r>
            <rPr>
              <b/>
              <sz val="14"/>
              <color rgb="FF1F3864"/>
              <rFont val="KaiTi"/>
              <family val="2"/>
            </rPr>
            <t xml:space="preserve">假设</t>
          </r>
          <r>
            <rPr>
              <b/>
              <sz val="14"/>
              <color rgb="FF1F3864"/>
              <rFont val="Arial"/>
              <family val="2"/>
            </rPr>
            <t xml:space="preserve">”B5</t>
          </r>
          <r>
            <rPr>
              <b/>
              <sz val="14"/>
              <color rgb="FF1F3864"/>
              <rFont val="KaiTi"/>
              <family val="2"/>
            </rPr>
            <t xml:space="preserve">，默认基准）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单位：百万元；蓝色为输入（报表值、驱动假设），黑色为公式，绿色为跨表引用；权益（含少数股东）合并列示，留存收益为预测期累计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资产负债表（百万元）</t>
          </r>
        </is>
      </c>
      <c r="B4" s="3" t="inlineStr">
        <is>
          <t xml:space="preserve">FY2024A</t>
        </is>
      </c>
      <c r="C4" s="3" t="inlineStr">
        <is>
          <t xml:space="preserve">FY2025A</t>
        </is>
      </c>
      <c r="D4" s="3" t="inlineStr">
        <is>
          <t xml:space="preserve">FY2026E</t>
        </is>
      </c>
      <c r="E4" s="3" t="inlineStr">
        <is>
          <t xml:space="preserve">FY2027E</t>
        </is>
      </c>
      <c r="F4" s="3" t="inlineStr">
        <is>
          <t xml:space="preserve">FY2028E</t>
        </is>
      </c>
      <c r="G4" s="3" t="inlineStr">
        <is>
          <t xml:space="preserve">FY2029E</t>
        </is>
      </c>
      <c r="H4" s="3" t="inlineStr">
        <is>
          <t xml:space="preserve">FY2030E</t>
        </is>
      </c>
      <c r="I4" s="2"/>
      <c r="J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5" ht="20" customHeight="1">
      <c r="A5" s="31" t="inlineStr">
        <is>
          <r>
            <rPr>
              <b/>
              <sz val="12"/>
              <rFont val="KaiTi"/>
              <family val="2"/>
            </rPr>
            <t xml:space="preserve">资产</t>
          </r>
        </is>
      </c>
      <c r="B5" s="31"/>
      <c r="C5" s="31"/>
      <c r="D5" s="31"/>
      <c r="E5" s="31"/>
      <c r="F5" s="31"/>
      <c r="G5" s="31"/>
      <c r="H5" s="31"/>
      <c r="I5" s="31"/>
      <c r="J5" s="31"/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货币资金</t>
          </r>
        </is>
      </c>
      <c r="B6" s="22">
        <v>303511.993</v>
      </c>
      <c r="C6" s="22">
        <v>333512.927</v>
      </c>
      <c r="D6" s="23">
        <f>'三表-现金流量表'!D21</f>
        <v>350695.39579518675</v>
      </c>
      <c r="E6" s="23">
        <f>'三表-现金流量表'!E21</f>
        <v>374583.6914857666</v>
      </c>
      <c r="F6" s="23">
        <f>'三表-现金流量表'!F21</f>
        <v>406660.9618610145</v>
      </c>
      <c r="G6" s="23">
        <f>'三表-现金流量表'!G21</f>
        <v>448082.71291923634</v>
      </c>
      <c r="H6" s="23">
        <f>'三表-现金流量表'!H21</f>
        <v>491849.1478997565</v>
      </c>
      <c r="I6" s="2"/>
      <c r="J6" s="2" t="inlineStr">
        <is>
          <r>
            <rPr>
              <i/>
              <sz val="9"/>
              <color rgb="FF595959"/>
              <rFont val="KaiTi"/>
              <family val="2"/>
            </rPr>
            <t xml:space="preserve">预测期货币资金引用现金流量表期末现金。</t>
          </r>
        </is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应收账款</t>
          </r>
        </is>
      </c>
      <c r="B7" s="22">
        <v>64135.51</v>
      </c>
      <c r="C7" s="22">
        <v>76403.264</v>
      </c>
      <c r="D7" s="23">
        <f>'三表-假设'!D46</f>
        <v>91712.13481102831</v>
      </c>
      <c r="E7" s="23">
        <f>'三表-假设'!E46</f>
        <v>105603.77988190486</v>
      </c>
      <c r="F7" s="23">
        <f>'三表-假设'!F46</f>
        <v>118976.47157193554</v>
      </c>
      <c r="G7" s="23">
        <f>'三表-假设'!G46</f>
        <v>129866.31754445567</v>
      </c>
      <c r="H7" s="23">
        <f>'三表-假设'!H46</f>
        <v>139222.88845542</v>
      </c>
      <c r="I7" s="2"/>
      <c r="J7" s="2" t="inlineStr">
        <is>
          <r>
            <rPr>
              <i/>
              <sz val="9"/>
              <color rgb="FF595959"/>
              <rFont val="KaiTi"/>
              <family val="2"/>
            </rPr>
            <t xml:space="preserve">应收账款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营业收入 </t>
          </r>
          <r>
            <rPr>
              <i/>
              <sz val="9"/>
              <color rgb="FF595959"/>
              <rFont val="Arial"/>
              <family val="2"/>
            </rPr>
            <t xml:space="preserve">× </t>
          </r>
          <r>
            <rPr>
              <i/>
              <sz val="9"/>
              <color rgb="FF595959"/>
              <rFont val="KaiTi"/>
              <family val="2"/>
            </rPr>
            <t xml:space="preserve">应收账款周转天数 </t>
          </r>
          <r>
            <rPr>
              <i/>
              <sz val="9"/>
              <color rgb="FF595959"/>
              <rFont val="Arial"/>
              <family val="2"/>
            </rPr>
            <t xml:space="preserve">/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存货</t>
          </r>
        </is>
      </c>
      <c r="B8" s="22">
        <v>59835.533</v>
      </c>
      <c r="C8" s="22">
        <v>94526.239</v>
      </c>
      <c r="D8" s="23">
        <f>'三表-假设'!D47</f>
        <v>114408.70990494719</v>
      </c>
      <c r="E8" s="23">
        <f>'三表-假设'!E47</f>
        <v>132184.07773981127</v>
      </c>
      <c r="F8" s="23">
        <f>'三表-假设'!F47</f>
        <v>149220.3482879763</v>
      </c>
      <c r="G8" s="23">
        <f>'三表-假设'!G47</f>
        <v>163079.9483871151</v>
      </c>
      <c r="H8" s="23">
        <f>'三表-假设'!H47</f>
        <v>174984.14591140425</v>
      </c>
      <c r="I8" s="2"/>
      <c r="J8" s="2" t="inlineStr">
        <is>
          <r>
            <rPr>
              <i/>
              <sz val="9"/>
              <color rgb="FF595959"/>
              <rFont val="KaiTi"/>
              <family val="2"/>
            </rPr>
            <t xml:space="preserve">存货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营业成本 </t>
          </r>
          <r>
            <rPr>
              <i/>
              <sz val="9"/>
              <color rgb="FF595959"/>
              <rFont val="Arial"/>
              <family val="2"/>
            </rPr>
            <t xml:space="preserve">× </t>
          </r>
          <r>
            <rPr>
              <i/>
              <sz val="9"/>
              <color rgb="FF595959"/>
              <rFont val="KaiTi"/>
              <family val="2"/>
            </rPr>
            <t xml:space="preserve">存货周转天数 </t>
          </r>
          <r>
            <rPr>
              <i/>
              <sz val="9"/>
              <color rgb="FF595959"/>
              <rFont val="Arial"/>
              <family val="2"/>
            </rPr>
            <t xml:space="preserve">/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固定资产 </t>
          </r>
          <r>
            <rPr>
              <sz val="12"/>
              <rFont val="Arial"/>
              <family val="2"/>
            </rPr>
            <t xml:space="preserve">+ </t>
          </r>
          <r>
            <rPr>
              <sz val="12"/>
              <rFont val="KaiTi"/>
              <family val="2"/>
            </rPr>
            <t xml:space="preserve">在建工程</t>
          </r>
        </is>
      </c>
      <c r="B9" s="22">
        <v>142343.756</v>
      </c>
      <c r="C9" s="22">
        <v>176133.7</v>
      </c>
      <c r="D9" s="23">
        <f>'三表-假设'!D55</f>
        <v>196380.12750633812</v>
      </c>
      <c r="E9" s="23">
        <f>'三表-假设'!E55</f>
        <v>215258.62862383685</v>
      </c>
      <c r="F9" s="23">
        <f>'三表-假设'!F55</f>
        <v>231340.46960105805</v>
      </c>
      <c r="G9" s="23">
        <f>'三表-假设'!G55</f>
        <v>242789.22020851466</v>
      </c>
      <c r="H9" s="23">
        <f>'三表-假设'!H55</f>
        <v>255855.4574085157</v>
      </c>
      <c r="I9" s="2"/>
      <c r="J9" s="2" t="inlineStr">
        <is>
          <r>
            <rPr>
              <i/>
              <sz val="9"/>
              <color rgb="FF595959"/>
              <rFont val="KaiTi"/>
              <family val="2"/>
            </rPr>
            <t xml:space="preserve">固定资产及在建工程引用固定资产滚动辅助计算。</t>
          </r>
        </is>
      </c>
    </row>
    <row r="10" ht="20" customHeight="1">
      <c r="A10" s="12" t="inlineStr">
        <is>
          <r>
            <rPr>
              <sz val="12"/>
              <rFont val="KaiTi"/>
              <family val="2"/>
            </rPr>
            <t xml:space="preserve">其他资产（含财务公司类现金资产）</t>
          </r>
        </is>
      </c>
      <c r="B10" s="22">
        <v>216831.331</v>
      </c>
      <c r="C10" s="22">
        <v>294251.414</v>
      </c>
      <c r="D10" s="15">
        <f>C10</f>
        <v>294251.414</v>
      </c>
      <c r="E10" s="15">
        <f>D10</f>
        <v>294251.414</v>
      </c>
      <c r="F10" s="15">
        <f>E10</f>
        <v>294251.414</v>
      </c>
      <c r="G10" s="15">
        <f>F10</f>
        <v>294251.414</v>
      </c>
      <c r="H10" s="15">
        <f>G10</f>
        <v>294251.414</v>
      </c>
    </row>
    <row r="11" ht="20" customHeight="1">
      <c r="A11" s="19" t="inlineStr">
        <is>
          <r>
            <rPr>
              <b/>
              <sz val="12"/>
              <rFont val="KaiTi"/>
              <family val="2"/>
            </rPr>
            <t xml:space="preserve">资产总计</t>
          </r>
        </is>
      </c>
      <c r="B11" s="24">
        <f>SUM(B6:B10)</f>
        <v>786658.123</v>
      </c>
      <c r="C11" s="24">
        <f>SUM(C6:C10)</f>
        <v>974827.544</v>
      </c>
      <c r="D11" s="24">
        <f>SUM(D6:D10)</f>
        <v>1047447.7820175003</v>
      </c>
      <c r="E11" s="24">
        <f>SUM(E6:E10)</f>
        <v>1121881.5917313197</v>
      </c>
      <c r="F11" s="24">
        <f>SUM(F6:F10)</f>
        <v>1200449.6653219843</v>
      </c>
      <c r="G11" s="24">
        <f>SUM(G6:G10)</f>
        <v>1278069.613059322</v>
      </c>
      <c r="H11" s="24">
        <f>SUM(H6:H10)</f>
        <v>1356163.0536750965</v>
      </c>
      <c r="I11" s="2"/>
      <c r="J11" s="2" t="inlineStr">
        <is>
          <r>
            <rPr>
              <i/>
              <sz val="9"/>
              <color rgb="FF595959"/>
              <rFont val="KaiTi"/>
              <family val="2"/>
            </rPr>
            <t xml:space="preserve">资产总计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各项资产合计。</t>
          </r>
        </is>
      </c>
    </row>
    <row r="12" ht="20" customHeight="1">
      <c r="A12" s="31" t="inlineStr">
        <is>
          <r>
            <rPr>
              <b/>
              <sz val="12"/>
              <rFont val="KaiTi"/>
              <family val="2"/>
            </rPr>
            <t xml:space="preserve">负债</t>
          </r>
        </is>
      </c>
      <c r="B12" s="31"/>
      <c r="C12" s="31"/>
      <c r="D12" s="31"/>
      <c r="E12" s="31"/>
      <c r="F12" s="31"/>
      <c r="G12" s="31"/>
      <c r="H12" s="31"/>
      <c r="I12" s="31"/>
      <c r="J12" s="31"/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应付账款</t>
          </r>
        </is>
      </c>
      <c r="B13" s="22">
        <v>130977.408</v>
      </c>
      <c r="C13" s="22">
        <v>160328.962</v>
      </c>
      <c r="D13" s="23">
        <f>'三表-假设'!D48</f>
        <v>194052.2536056819</v>
      </c>
      <c r="E13" s="23">
        <f>'三表-假设'!E48</f>
        <v>224201.62064155802</v>
      </c>
      <c r="F13" s="23">
        <f>'三表-假设'!F48</f>
        <v>253097.3812497683</v>
      </c>
      <c r="G13" s="23">
        <f>'三表-假设'!G48</f>
        <v>276605.0900207691</v>
      </c>
      <c r="H13" s="23">
        <f>'三表-假设'!H48</f>
        <v>296796.17825937184</v>
      </c>
      <c r="I13" s="2"/>
      <c r="J13" s="2" t="inlineStr">
        <is>
          <r>
            <rPr>
              <i/>
              <sz val="9"/>
              <color rgb="FF595959"/>
              <rFont val="KaiTi"/>
              <family val="2"/>
            </rPr>
            <t xml:space="preserve">应付账款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营业成本 </t>
          </r>
          <r>
            <rPr>
              <i/>
              <sz val="9"/>
              <color rgb="FF595959"/>
              <rFont val="Arial"/>
              <family val="2"/>
            </rPr>
            <t xml:space="preserve">× </t>
          </r>
          <r>
            <rPr>
              <i/>
              <sz val="9"/>
              <color rgb="FF595959"/>
              <rFont val="KaiTi"/>
              <family val="2"/>
            </rPr>
            <t xml:space="preserve">应付账款周转天数 </t>
          </r>
          <r>
            <rPr>
              <i/>
              <sz val="9"/>
              <color rgb="FF595959"/>
              <rFont val="Arial"/>
              <family val="2"/>
            </rPr>
            <t xml:space="preserve">/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14" ht="20" customHeight="1">
      <c r="A14" s="12" t="inlineStr">
        <is>
          <r>
            <rPr>
              <sz val="12"/>
              <rFont val="KaiTi"/>
              <family val="2"/>
            </rPr>
            <t xml:space="preserve">有息负债（含租赁负债）</t>
          </r>
        </is>
      </c>
      <c r="B14" s="22">
        <v>136401.592</v>
      </c>
      <c r="C14" s="22">
        <v>119656.488</v>
      </c>
      <c r="D14" s="23">
        <f>'三表-假设'!D59</f>
        <v>119656.488</v>
      </c>
      <c r="E14" s="23">
        <f>'三表-假设'!E59</f>
        <v>119656.488</v>
      </c>
      <c r="F14" s="23">
        <f>'三表-假设'!F59</f>
        <v>119656.488</v>
      </c>
      <c r="G14" s="23">
        <f>'三表-假设'!G59</f>
        <v>119656.488</v>
      </c>
      <c r="H14" s="23">
        <f>'三表-假设'!H59</f>
        <v>119656.488</v>
      </c>
    </row>
    <row r="15" ht="20" customHeight="1">
      <c r="A15" s="12" t="inlineStr">
        <is>
          <r>
            <rPr>
              <sz val="12"/>
              <rFont val="KaiTi"/>
              <family val="2"/>
            </rPr>
            <t xml:space="preserve">其他负债</t>
          </r>
        </is>
      </c>
      <c r="B15" s="22">
        <v>245822.94900000002</v>
      </c>
      <c r="C15" s="22">
        <v>323815.76999999996</v>
      </c>
      <c r="D15" s="15">
        <f>C15</f>
        <v>323815.76999999996</v>
      </c>
      <c r="E15" s="15">
        <f>D15</f>
        <v>323815.76999999996</v>
      </c>
      <c r="F15" s="15">
        <f>E15</f>
        <v>323815.76999999996</v>
      </c>
      <c r="G15" s="15">
        <f>F15</f>
        <v>323815.76999999996</v>
      </c>
      <c r="H15" s="15">
        <f>G15</f>
        <v>323815.76999999996</v>
      </c>
    </row>
    <row r="16" ht="20" customHeight="1">
      <c r="A16" s="19" t="inlineStr">
        <is>
          <r>
            <rPr>
              <b/>
              <sz val="12"/>
              <rFont val="KaiTi"/>
              <family val="2"/>
            </rPr>
            <t xml:space="preserve">负债合计</t>
          </r>
        </is>
      </c>
      <c r="B16" s="24">
        <f>SUM(B13:B15)</f>
        <v>513201.949</v>
      </c>
      <c r="C16" s="24">
        <f>SUM(C13:C15)</f>
        <v>603801.22</v>
      </c>
      <c r="D16" s="24">
        <f>SUM(D13:D15)</f>
        <v>637524.5116056819</v>
      </c>
      <c r="E16" s="24">
        <f>SUM(E13:E15)</f>
        <v>667673.878641558</v>
      </c>
      <c r="F16" s="24">
        <f>SUM(F13:F15)</f>
        <v>696569.6392497683</v>
      </c>
      <c r="G16" s="24">
        <f>SUM(G13:G15)</f>
        <v>720077.3480207691</v>
      </c>
      <c r="H16" s="24">
        <f>SUM(H13:H15)</f>
        <v>740268.4362593718</v>
      </c>
    </row>
    <row r="17" ht="20" customHeight="1">
      <c r="A17" s="31" t="inlineStr">
        <is>
          <r>
            <rPr>
              <b/>
              <sz val="12"/>
              <rFont val="KaiTi"/>
              <family val="2"/>
            </rPr>
            <t xml:space="preserve">所有者权益</t>
          </r>
        </is>
      </c>
      <c r="B17" s="31"/>
      <c r="C17" s="31"/>
      <c r="D17" s="31"/>
      <c r="E17" s="31"/>
      <c r="F17" s="31"/>
      <c r="G17" s="31"/>
      <c r="H17" s="31"/>
      <c r="I17" s="31"/>
      <c r="J17" s="31"/>
    </row>
    <row r="18" ht="20" customHeight="1">
      <c r="A18" s="12" t="inlineStr">
        <is>
          <r>
            <rPr>
              <sz val="12"/>
              <rFont val="KaiTi"/>
              <family val="2"/>
            </rPr>
            <t xml:space="preserve">股本、资本公积及其他权益</t>
          </r>
        </is>
      </c>
      <c r="B18" s="22">
        <v>273456.174</v>
      </c>
      <c r="C18" s="22">
        <v>371026.324</v>
      </c>
      <c r="D18" s="15">
        <f>C18</f>
        <v>371026.324</v>
      </c>
      <c r="E18" s="15">
        <f>D18</f>
        <v>371026.324</v>
      </c>
      <c r="F18" s="15">
        <f>E18</f>
        <v>371026.324</v>
      </c>
      <c r="G18" s="15">
        <f>F18</f>
        <v>371026.324</v>
      </c>
      <c r="H18" s="15">
        <f>G18</f>
        <v>371026.324</v>
      </c>
    </row>
    <row r="19" ht="20" customHeight="1">
      <c r="A19" s="12" t="inlineStr">
        <is>
          <r>
            <rPr>
              <sz val="12"/>
              <rFont val="KaiTi"/>
              <family val="2"/>
            </rPr>
            <t xml:space="preserve">留存收益（预测期累计）</t>
          </r>
        </is>
      </c>
      <c r="B19" s="22">
        <v>0.0</v>
      </c>
      <c r="C19" s="22">
        <v>0.0</v>
      </c>
      <c r="D19" s="15">
        <f>C19+'三表-利润表'!D17-'三表-假设'!D62</f>
        <v>38896.94641181843</v>
      </c>
      <c r="E19" s="15">
        <f>D19+'三表-利润表'!E17-'三表-假设'!E62</f>
        <v>83181.38908976148</v>
      </c>
      <c r="F19" s="15">
        <f>E19+'三表-利润表'!F17-'三表-假设'!F62</f>
        <v>132853.70207221594</v>
      </c>
      <c r="G19" s="15">
        <f>F19+'三表-利润表'!G17-'三表-假设'!G62</f>
        <v>186965.9410385526</v>
      </c>
      <c r="H19" s="15">
        <f>G19+'三表-利润表'!H17-'三表-假设'!H62</f>
        <v>244868.29341572453</v>
      </c>
    </row>
    <row r="20" ht="20" customHeight="1">
      <c r="A20" s="19" t="inlineStr">
        <is>
          <r>
            <rPr>
              <b/>
              <sz val="12"/>
              <rFont val="KaiTi"/>
              <family val="2"/>
            </rPr>
            <t xml:space="preserve">所有者权益合计</t>
          </r>
        </is>
      </c>
      <c r="B20" s="24">
        <f>B18+B19</f>
        <v>273456.174</v>
      </c>
      <c r="C20" s="24">
        <f>C18+C19</f>
        <v>371026.324</v>
      </c>
      <c r="D20" s="24">
        <f>D18+D19</f>
        <v>409923.27041181846</v>
      </c>
      <c r="E20" s="24">
        <f>E18+E19</f>
        <v>454207.7130897615</v>
      </c>
      <c r="F20" s="24">
        <f>F18+F19</f>
        <v>503880.026072216</v>
      </c>
      <c r="G20" s="24">
        <f>G18+G19</f>
        <v>557992.2650385527</v>
      </c>
      <c r="H20" s="24">
        <f>H18+H19</f>
        <v>615894.6174157246</v>
      </c>
    </row>
    <row r="21" ht="20" customHeight="1">
      <c r="A21" s="5" t="inlineStr">
        <is>
          <r>
            <rPr>
              <sz val="12"/>
              <rFont val="KaiTi"/>
              <family val="2"/>
            </rPr>
            <t xml:space="preserve">负债和所有者权益总计</t>
          </r>
        </is>
      </c>
      <c r="B21" s="8">
        <f>B16+B20</f>
        <v>786658.123</v>
      </c>
      <c r="C21" s="8">
        <f>C16+C20</f>
        <v>974827.544</v>
      </c>
      <c r="D21" s="8">
        <f>D16+D20</f>
        <v>1047447.7820175004</v>
      </c>
      <c r="E21" s="8">
        <f>E16+E20</f>
        <v>1121881.5917313194</v>
      </c>
      <c r="F21" s="8">
        <f>F16+F20</f>
        <v>1200449.6653219843</v>
      </c>
      <c r="G21" s="8">
        <f>G16+G20</f>
        <v>1278069.613059322</v>
      </c>
      <c r="H21" s="8">
        <f>H16+H20</f>
        <v>1356163.0536750965</v>
      </c>
      <c r="I21" s="2"/>
      <c r="J21" s="2" t="inlineStr">
        <is>
          <r>
            <rPr>
              <i/>
              <sz val="9"/>
              <color rgb="FF595959"/>
              <rFont val="KaiTi"/>
              <family val="2"/>
            </rPr>
            <t xml:space="preserve">负债和权益总计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各项负债与权益合计。</t>
          </r>
        </is>
      </c>
    </row>
    <row r="22" ht="20" customHeight="1"/>
    <row r="23" ht="20" customHeight="1">
      <c r="A23" s="31" t="inlineStr">
        <is>
          <r>
            <rPr>
              <b/>
              <sz val="12"/>
              <rFont val="KaiTi"/>
              <family val="2"/>
            </rPr>
            <t xml:space="preserve">勾稽检查（应全部为 </t>
          </r>
          <r>
            <rPr>
              <b/>
              <sz val="12"/>
              <rFont val="Arial"/>
              <family val="2"/>
            </rPr>
            <t xml:space="preserve">0</t>
          </r>
          <r>
            <rPr>
              <b/>
              <sz val="12"/>
              <rFont val="KaiTi"/>
              <family val="2"/>
            </rPr>
            <t xml:space="preserve">，显示为</t>
          </r>
          <r>
            <rPr>
              <b/>
              <sz val="12"/>
              <rFont val="Arial"/>
              <family val="2"/>
            </rPr>
            <t xml:space="preserve">“-”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23" s="31"/>
      <c r="C23" s="31"/>
      <c r="D23" s="31"/>
      <c r="E23" s="31"/>
      <c r="F23" s="31"/>
      <c r="G23" s="31"/>
      <c r="H23" s="31"/>
      <c r="I23" s="31"/>
      <c r="J23" s="31"/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资产总计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负债和所有者权益总计</t>
          </r>
        </is>
      </c>
      <c r="B24" s="16">
        <f>ROUND(B11-B21,6)</f>
        <v>0.0</v>
      </c>
      <c r="C24" s="16">
        <f>ROUND(C11-C21,6)</f>
        <v>0.0</v>
      </c>
      <c r="D24" s="16">
        <f>ROUND(D11-D21,6)</f>
        <v>0.0</v>
      </c>
      <c r="E24" s="16">
        <f>ROUND(E11-E21,6)</f>
        <v>0.0</v>
      </c>
      <c r="F24" s="16">
        <f>ROUND(F11-F21,6)</f>
        <v>0.0</v>
      </c>
      <c r="G24" s="16">
        <f>ROUND(G11-G21,6)</f>
        <v>0.0</v>
      </c>
      <c r="H24" s="16">
        <f>ROUND(H11-H21,6)</f>
        <v>0.0</v>
      </c>
      <c r="I24" s="2"/>
      <c r="J24" s="2" t="inlineStr">
        <is>
          <r>
            <rPr>
              <i/>
              <sz val="9"/>
              <color rgb="FF595959"/>
              <rFont val="KaiTi"/>
              <family val="2"/>
            </rPr>
            <t xml:space="preserve">模型检查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资产总计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负债和权益总计；容差内应为 </t>
          </r>
          <r>
            <rPr>
              <i/>
              <sz val="9"/>
              <color rgb="FF595959"/>
              <rFont val="Arial"/>
              <family val="2"/>
            </rPr>
            <t xml:space="preserve">0.00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25" ht="20" customHeight="1">
      <c r="A25" s="12" t="inlineStr">
        <is>
          <r>
            <rPr>
              <sz val="12"/>
              <rFont val="KaiTi"/>
              <family val="2"/>
            </rPr>
            <t xml:space="preserve">现金流量表期末现金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货币资金</t>
          </r>
        </is>
      </c>
      <c r="B25" s="12"/>
      <c r="C25" s="12"/>
      <c r="D25" s="16">
        <f>ROUND('三表-现金流量表'!D21-D6,6)</f>
        <v>0.0</v>
      </c>
      <c r="E25" s="16">
        <f>ROUND('三表-现金流量表'!E21-E6,6)</f>
        <v>0.0</v>
      </c>
      <c r="F25" s="16">
        <f>ROUND('三表-现金流量表'!F21-F6,6)</f>
        <v>0.0</v>
      </c>
      <c r="G25" s="16">
        <f>ROUND('三表-现金流量表'!G21-G6,6)</f>
        <v>0.0</v>
      </c>
      <c r="H25" s="16">
        <f>ROUND('三表-现金流量表'!H21-H6,6)</f>
        <v>0.0</v>
      </c>
    </row>
    <row r="26" ht="20" customHeight="1">
      <c r="A26" s="12" t="inlineStr">
        <is>
          <r>
            <rPr>
              <sz val="12"/>
              <rFont val="KaiTi"/>
              <family val="2"/>
            </rPr>
            <t xml:space="preserve">留存收益滚动（期初 </t>
          </r>
          <r>
            <rPr>
              <sz val="12"/>
              <rFont val="Arial"/>
              <family val="2"/>
            </rPr>
            <t xml:space="preserve">+ </t>
          </r>
          <r>
            <rPr>
              <sz val="12"/>
              <rFont val="KaiTi"/>
              <family val="2"/>
            </rPr>
            <t xml:space="preserve">净利润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分红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期末）</t>
          </r>
        </is>
      </c>
      <c r="B26" s="12"/>
      <c r="C26" s="12"/>
      <c r="D26" s="16">
        <f>ROUND(C19+'三表-利润表'!D17-'三表-假设'!D62-D19,6)</f>
        <v>0.0</v>
      </c>
      <c r="E26" s="16">
        <f>ROUND(D19+'三表-利润表'!E17-'三表-假设'!E62-E19,6)</f>
        <v>0.0</v>
      </c>
      <c r="F26" s="16">
        <f>ROUND(E19+'三表-利润表'!F17-'三表-假设'!F62-F19,6)</f>
        <v>0.0</v>
      </c>
      <c r="G26" s="16">
        <f>ROUND(F19+'三表-利润表'!G17-'三表-假设'!G62-G19,6)</f>
        <v>0.0</v>
      </c>
      <c r="H26" s="16">
        <f>ROUND(G19+'三表-利润表'!H17-'三表-假设'!H62-H19,6)</f>
        <v>0.0</v>
      </c>
    </row>
    <row r="27" ht="20" customHeight="1">
      <c r="A27" s="12" t="inlineStr">
        <is>
          <r>
            <rPr>
              <sz val="12"/>
              <rFont val="Arial"/>
              <family val="2"/>
            </rPr>
            <t xml:space="preserve">PP&amp;E </t>
          </r>
          <r>
            <rPr>
              <sz val="12"/>
              <rFont val="KaiTi"/>
              <family val="2"/>
            </rPr>
            <t xml:space="preserve">滚动（期初 </t>
          </r>
          <r>
            <rPr>
              <sz val="12"/>
              <rFont val="Arial"/>
              <family val="2"/>
            </rPr>
            <t xml:space="preserve">+ </t>
          </r>
          <r>
            <rPr>
              <sz val="12"/>
              <rFont val="KaiTi"/>
              <family val="2"/>
            </rPr>
            <t xml:space="preserve">资本开支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折旧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期末）</t>
          </r>
        </is>
      </c>
      <c r="B27" s="12"/>
      <c r="C27" s="12"/>
      <c r="D27" s="16">
        <f>ROUND('三表-假设'!D52+'三表-假设'!D53-'三表-假设'!D54-'三表-假设'!D55,6)</f>
        <v>0.0</v>
      </c>
      <c r="E27" s="16">
        <f>ROUND('三表-假设'!E52+'三表-假设'!E53-'三表-假设'!E54-'三表-假设'!E55,6)</f>
        <v>0.0</v>
      </c>
      <c r="F27" s="16">
        <f>ROUND('三表-假设'!F52+'三表-假设'!F53-'三表-假设'!F54-'三表-假设'!F55,6)</f>
        <v>0.0</v>
      </c>
      <c r="G27" s="16">
        <f>ROUND('三表-假设'!G52+'三表-假设'!G53-'三表-假设'!G54-'三表-假设'!G55,6)</f>
        <v>0.0</v>
      </c>
      <c r="H27" s="16">
        <f>ROUND('三表-假设'!H52+'三表-假设'!H53-'三表-假设'!H54-'三表-假设'!H55,6)</f>
        <v>0.0</v>
      </c>
    </row>
    <row r="28" ht="20" customHeight="1">
      <c r="A28" s="12" t="inlineStr">
        <is>
          <r>
            <rPr>
              <sz val="12"/>
              <rFont val="KaiTi"/>
              <family val="2"/>
            </rPr>
            <t xml:space="preserve">有息负债滚动（期初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偿还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期末）</t>
          </r>
        </is>
      </c>
      <c r="B28" s="12"/>
      <c r="C28" s="12"/>
      <c r="D28" s="16">
        <f>ROUND('三表-假设'!D57-'三表-假设'!D58-'三表-假设'!D59,6)</f>
        <v>0.0</v>
      </c>
      <c r="E28" s="16">
        <f>ROUND('三表-假设'!E57-'三表-假设'!E58-'三表-假设'!E59,6)</f>
        <v>0.0</v>
      </c>
      <c r="F28" s="16">
        <f>ROUND('三表-假设'!F57-'三表-假设'!F58-'三表-假设'!F59,6)</f>
        <v>0.0</v>
      </c>
      <c r="G28" s="16">
        <f>ROUND('三表-假设'!G57-'三表-假设'!G58-'三表-假设'!G59,6)</f>
        <v>0.0</v>
      </c>
      <c r="H28" s="16">
        <f>ROUND('三表-假设'!H57-'三表-假设'!H58-'三表-假设'!H59,6)</f>
        <v>0.0</v>
      </c>
    </row>
    <row r="29" ht="20" customHeight="1">
      <c r="A29" s="12" t="inlineStr">
        <is>
          <r>
            <rPr>
              <sz val="12"/>
              <rFont val="KaiTi"/>
              <family val="2"/>
            </rPr>
            <t xml:space="preserve">勾稽结论</t>
          </r>
        </is>
      </c>
      <c r="B29" s="42" t="str">
        <f>IF(SUM(ABS(B24),ABS(C24),ABS(D24),ABS(E24),ABS(F24),ABS(G24),ABS(H24),ABS(B25),ABS(C25),ABS(D25),ABS(E25),ABS(F25),ABS(G25),ABS(H25),ABS(B26),ABS(C26),ABS(D26),ABS(E26),ABS(F26),ABS(G26),ABS(H26),ABS(B27),ABS(C27),ABS(D27),ABS(E27),ABS(F27),ABS(G27),ABS(H27),ABS(B28),ABS(C28),ABS(D28),ABS(E28),ABS(F28),ABS(G28),ABS(H28))&lt;0.001,"全部平衡","不平衡，请检查")</f>
        <v>全部平衡</v>
      </c>
      <c r="C29" s="2"/>
      <c r="D29" s="2" t="inlineStr">
        <is>
          <r>
            <rPr>
              <i/>
              <sz val="9"/>
              <color rgb="FF595959"/>
              <rFont val="KaiTi"/>
              <family val="2"/>
            </rPr>
            <t xml:space="preserve">汇总资产负债、现金、留存收益、</t>
          </r>
          <r>
            <rPr>
              <i/>
              <sz val="9"/>
              <color rgb="FF595959"/>
              <rFont val="Arial"/>
              <family val="2"/>
            </rPr>
            <t xml:space="preserve">PP&amp;E </t>
          </r>
          <r>
            <rPr>
              <i/>
              <sz val="9"/>
              <color rgb="FF595959"/>
              <rFont val="KaiTi"/>
              <family val="2"/>
            </rPr>
            <t xml:space="preserve">与有息负债滚动检查。</t>
          </r>
        </is>
      </c>
    </row>
  </sheetData>
  <pageMargins left="0.5" right="0.5" top="0.6" bottom="0.6" header="0.3" footer="0.3"/>
  <pageSetup paperSize="9" orientation="landscape" fitToWidth="1" fitToHeight="0"/>
</worksheet>
</file>

<file path=xl/worksheets/sheet11.xml><?xml version="1.0" encoding="utf-8"?>
<worksheet xmlns="http://schemas.openxmlformats.org/spreadsheetml/2006/main">
  <sheetPr>
    <tabColor rgb="FF1F3864"/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0.0" customWidth="1"/>
    <col min="2" max="2" width="12.0" customWidth="1"/>
    <col min="3" max="3" width="12.0" customWidth="1"/>
    <col min="4" max="4" width="12.0" customWidth="1"/>
    <col min="5" max="5" width="12.0" customWidth="1"/>
    <col min="6" max="6" width="12.0" customWidth="1"/>
    <col min="7" max="7" width="12.0" customWidth="1"/>
    <col min="8" max="8" width="12.0" customWidth="1"/>
    <col min="9" max="9" width="2.5" customWidth="1"/>
    <col min="10" max="10" width="6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三表联动模型：现金流量表（情景见</t>
          </r>
          <r>
            <rPr>
              <b/>
              <sz val="14"/>
              <color rgb="FF1F3864"/>
              <rFont val="Arial"/>
              <family val="2"/>
            </rPr>
            <t xml:space="preserve">“</t>
          </r>
          <r>
            <rPr>
              <b/>
              <sz val="14"/>
              <color rgb="FF1F3864"/>
              <rFont val="KaiTi"/>
              <family val="2"/>
            </rPr>
            <t xml:space="preserve">三表</t>
          </r>
          <r>
            <rPr>
              <b/>
              <sz val="14"/>
              <color rgb="FF1F3864"/>
              <rFont val="Arial"/>
              <family val="2"/>
            </rPr>
            <t xml:space="preserve">-</t>
          </r>
          <r>
            <rPr>
              <b/>
              <sz val="14"/>
              <color rgb="FF1F3864"/>
              <rFont val="KaiTi"/>
              <family val="2"/>
            </rPr>
            <t xml:space="preserve">假设</t>
          </r>
          <r>
            <rPr>
              <b/>
              <sz val="14"/>
              <color rgb="FF1F3864"/>
              <rFont val="Arial"/>
              <family val="2"/>
            </rPr>
            <t xml:space="preserve">”B5</t>
          </r>
          <r>
            <rPr>
              <b/>
              <sz val="14"/>
              <color rgb="FF1F3864"/>
              <rFont val="KaiTi"/>
              <family val="2"/>
            </rPr>
            <t xml:space="preserve">，默认基准）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单位：百万元；蓝色为输入（报表值、驱动假设），黑色为公式，绿色为跨表引用；实际年度经营现金流为报表值，</t>
          </r>
          <r>
            <rPr>
              <i/>
              <sz val="9"/>
              <color rgb="FF595959"/>
              <rFont val="Arial"/>
              <family val="2"/>
            </rPr>
            <t xml:space="preserve">“</t>
          </r>
          <r>
            <rPr>
              <i/>
              <sz val="9"/>
              <color rgb="FF595959"/>
              <rFont val="KaiTi"/>
              <family val="2"/>
            </rPr>
            <t xml:space="preserve">其他经营项目</t>
          </r>
          <r>
            <rPr>
              <i/>
              <sz val="9"/>
              <color rgb="FF595959"/>
              <rFont val="Arial"/>
              <family val="2"/>
            </rPr>
            <t xml:space="preserve">”</t>
          </r>
          <r>
            <rPr>
              <i/>
              <sz val="9"/>
              <color rgb="FF595959"/>
              <rFont val="KaiTi"/>
              <family val="2"/>
            </rPr>
            <t xml:space="preserve">为轧差（含财务公司存款变动）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现金流量表（百万元）</t>
          </r>
        </is>
      </c>
      <c r="B4" s="3" t="inlineStr">
        <is>
          <t xml:space="preserve">FY2024A</t>
        </is>
      </c>
      <c r="C4" s="3" t="inlineStr">
        <is>
          <t xml:space="preserve">FY2025A</t>
        </is>
      </c>
      <c r="D4" s="3" t="inlineStr">
        <is>
          <t xml:space="preserve">FY2026E</t>
        </is>
      </c>
      <c r="E4" s="3" t="inlineStr">
        <is>
          <t xml:space="preserve">FY2027E</t>
        </is>
      </c>
      <c r="F4" s="3" t="inlineStr">
        <is>
          <t xml:space="preserve">FY2028E</t>
        </is>
      </c>
      <c r="G4" s="3" t="inlineStr">
        <is>
          <t xml:space="preserve">FY2029E</t>
        </is>
      </c>
      <c r="H4" s="3" t="inlineStr">
        <is>
          <t xml:space="preserve">FY2030E</t>
        </is>
      </c>
      <c r="I4" s="2"/>
      <c r="J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5" ht="20" customHeight="1">
      <c r="A5" s="31" t="inlineStr">
        <is>
          <r>
            <rPr>
              <b/>
              <sz val="12"/>
              <rFont val="KaiTi"/>
              <family val="2"/>
            </rPr>
            <t xml:space="preserve">经营活动</t>
          </r>
        </is>
      </c>
      <c r="B5" s="31"/>
      <c r="C5" s="31"/>
      <c r="D5" s="31"/>
      <c r="E5" s="31"/>
      <c r="F5" s="31"/>
      <c r="G5" s="31"/>
      <c r="H5" s="31"/>
      <c r="I5" s="31"/>
      <c r="J5" s="31"/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净利润</t>
          </r>
        </is>
      </c>
      <c r="B6" s="23">
        <f>'三表-利润表'!B17</f>
        <v>54006.793999999994</v>
      </c>
      <c r="C6" s="23">
        <f>'三表-利润表'!C17</f>
        <v>76786.30899999998</v>
      </c>
      <c r="D6" s="23">
        <f>'三表-利润表'!D17</f>
        <v>77793.89282363687</v>
      </c>
      <c r="E6" s="23">
        <f>'三表-利润表'!E17</f>
        <v>88568.88535588609</v>
      </c>
      <c r="F6" s="23">
        <f>'三表-利润表'!F17</f>
        <v>99344.62596490892</v>
      </c>
      <c r="G6" s="23">
        <f>'三表-利润表'!G17</f>
        <v>108224.47793267333</v>
      </c>
      <c r="H6" s="23">
        <f>'三表-利润表'!H17</f>
        <v>115804.70475434384</v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加：折旧摊销</t>
          </r>
        </is>
      </c>
      <c r="B7" s="23">
        <f>'三表-利润表'!B10</f>
        <v>22908.273</v>
      </c>
      <c r="C7" s="23">
        <f>'三表-利润表'!C10</f>
        <v>24834.78</v>
      </c>
      <c r="D7" s="23">
        <f>'三表-利润表'!D10</f>
        <v>30613.441149911887</v>
      </c>
      <c r="E7" s="23">
        <f>'三表-利润表'!E10</f>
        <v>33828.75454629836</v>
      </c>
      <c r="F7" s="23">
        <f>'三表-利润表'!F10</f>
        <v>36701.819373077946</v>
      </c>
      <c r="G7" s="23">
        <f>'三表-利润表'!G10</f>
        <v>38964.302220873586</v>
      </c>
      <c r="H7" s="23">
        <f>'三表-利润表'!H10</f>
        <v>40978.96068753585</v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减：营运资本增加</t>
          </r>
        </is>
      </c>
      <c r="B8" s="12"/>
      <c r="C8" s="15">
        <f>-'三表-假设'!C50</f>
        <v>-17606.905999999988</v>
      </c>
      <c r="D8" s="15">
        <f>-'三表-假设'!D50</f>
        <v>-1468.0501102936105</v>
      </c>
      <c r="E8" s="15">
        <f>-'三表-假设'!E50</f>
        <v>-1517.6458698645001</v>
      </c>
      <c r="F8" s="15">
        <f>-'三表-假设'!F50</f>
        <v>-1513.2016299853858</v>
      </c>
      <c r="G8" s="15">
        <f>-'三表-假设'!G50</f>
        <v>-1241.737300658191</v>
      </c>
      <c r="H8" s="15">
        <f>-'三表-假设'!H50</f>
        <v>-1069.6801966507337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其他经营项目</t>
          </r>
        </is>
      </c>
      <c r="B9" s="12"/>
      <c r="C9" s="15">
        <f>C10-C6-C7-C8</f>
        <v>49205.799</v>
      </c>
      <c r="D9" s="22">
        <v>0.0</v>
      </c>
      <c r="E9" s="22">
        <v>0.0</v>
      </c>
      <c r="F9" s="22">
        <v>0.0</v>
      </c>
      <c r="G9" s="22">
        <v>0.0</v>
      </c>
      <c r="H9" s="22">
        <v>0.0</v>
      </c>
    </row>
    <row r="10" ht="20" customHeight="1">
      <c r="A10" s="19" t="inlineStr">
        <is>
          <r>
            <rPr>
              <b/>
              <sz val="12"/>
              <rFont val="KaiTi"/>
              <family val="2"/>
            </rPr>
            <t xml:space="preserve">经营活动现金流量净额</t>
          </r>
        </is>
      </c>
      <c r="B10" s="20">
        <v>96990.345</v>
      </c>
      <c r="C10" s="20">
        <v>133219.982</v>
      </c>
      <c r="D10" s="24">
        <f>SUM(D6:D9)</f>
        <v>106939.28386325514</v>
      </c>
      <c r="E10" s="24">
        <f>SUM(E6:E9)</f>
        <v>120879.99403231996</v>
      </c>
      <c r="F10" s="24">
        <f>SUM(F6:F9)</f>
        <v>134533.24370800148</v>
      </c>
      <c r="G10" s="24">
        <f>SUM(G6:G9)</f>
        <v>145947.04285288873</v>
      </c>
      <c r="H10" s="24">
        <f>SUM(H6:H9)</f>
        <v>155713.98524522895</v>
      </c>
      <c r="I10" s="2"/>
      <c r="J10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经营活动现金流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净利润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折旧摊销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营运资本增加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其他经营项目。</t>
          </r>
        </is>
      </c>
    </row>
    <row r="11" ht="20" customHeight="1">
      <c r="A11" s="31" t="inlineStr">
        <is>
          <r>
            <rPr>
              <b/>
              <sz val="12"/>
              <rFont val="KaiTi"/>
              <family val="2"/>
            </rPr>
            <t xml:space="preserve">投资活动</t>
          </r>
        </is>
      </c>
      <c r="B11" s="31"/>
      <c r="C11" s="31"/>
      <c r="D11" s="31"/>
      <c r="E11" s="31"/>
      <c r="F11" s="31"/>
      <c r="G11" s="31"/>
      <c r="H11" s="31"/>
      <c r="I11" s="31"/>
      <c r="J11" s="31"/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购建长期资产（资本开支）</t>
          </r>
        </is>
      </c>
      <c r="B12" s="22">
        <v>-31179.943</v>
      </c>
      <c r="C12" s="22">
        <v>-42344.558</v>
      </c>
      <c r="D12" s="15">
        <f>-'三表-假设'!D53</f>
        <v>-50859.86865625</v>
      </c>
      <c r="E12" s="15">
        <f>-'三表-假设'!E53</f>
        <v>-52707.25566379709</v>
      </c>
      <c r="F12" s="15">
        <f>-'三表-假设'!F53</f>
        <v>-52783.66035029913</v>
      </c>
      <c r="G12" s="15">
        <f>-'三表-假设'!G53</f>
        <v>-50413.052828330176</v>
      </c>
      <c r="H12" s="15">
        <f>-'三表-假设'!H53</f>
        <v>-54045.19788753687</v>
      </c>
      <c r="I12" s="2"/>
      <c r="J12" s="2" t="inlineStr">
        <is>
          <r>
            <rPr>
              <i/>
              <sz val="9"/>
              <color rgb="FF595959"/>
              <rFont val="KaiTi"/>
              <family val="2"/>
            </rPr>
            <t xml:space="preserve">资本开支为现金流出，取负号列示。</t>
          </r>
        </is>
      </c>
    </row>
    <row r="13" ht="20" customHeight="1">
      <c r="A13" s="19" t="inlineStr">
        <is>
          <r>
            <rPr>
              <b/>
              <sz val="12"/>
              <rFont val="KaiTi"/>
              <family val="2"/>
            </rPr>
            <t xml:space="preserve">投资活动现金流量净额（模型口径）</t>
          </r>
        </is>
      </c>
      <c r="B13" s="19"/>
      <c r="C13" s="19"/>
      <c r="D13" s="24">
        <f>D12</f>
        <v>-50859.86865625</v>
      </c>
      <c r="E13" s="24">
        <f>E12</f>
        <v>-52707.25566379709</v>
      </c>
      <c r="F13" s="24">
        <f>F12</f>
        <v>-52783.66035029913</v>
      </c>
      <c r="G13" s="24">
        <f>G12</f>
        <v>-50413.052828330176</v>
      </c>
      <c r="H13" s="24">
        <f>H12</f>
        <v>-54045.19788753687</v>
      </c>
    </row>
    <row r="14" ht="20" customHeight="1">
      <c r="A14" s="31" t="inlineStr">
        <is>
          <r>
            <rPr>
              <b/>
              <sz val="12"/>
              <rFont val="KaiTi"/>
              <family val="2"/>
            </rPr>
            <t xml:space="preserve">筹资活动</t>
          </r>
        </is>
      </c>
      <c r="B14" s="31"/>
      <c r="C14" s="31"/>
      <c r="D14" s="31"/>
      <c r="E14" s="31"/>
      <c r="F14" s="31"/>
      <c r="G14" s="31"/>
      <c r="H14" s="31"/>
      <c r="I14" s="31"/>
      <c r="J14" s="31"/>
    </row>
    <row r="15" ht="20" customHeight="1">
      <c r="A15" s="12" t="inlineStr">
        <is>
          <r>
            <rPr>
              <sz val="12"/>
              <rFont val="KaiTi"/>
              <family val="2"/>
            </rPr>
            <t xml:space="preserve">偿还有息负债</t>
          </r>
        </is>
      </c>
      <c r="B15" s="12"/>
      <c r="C15" s="12"/>
      <c r="D15" s="15">
        <f>-'三表-假设'!D58</f>
        <v>-0.0</v>
      </c>
      <c r="E15" s="15">
        <f>-'三表-假设'!E58</f>
        <v>-0.0</v>
      </c>
      <c r="F15" s="15">
        <f>-'三表-假设'!F58</f>
        <v>-0.0</v>
      </c>
      <c r="G15" s="15">
        <f>-'三表-假设'!G58</f>
        <v>-0.0</v>
      </c>
      <c r="H15" s="15">
        <f>-'三表-假设'!H58</f>
        <v>-0.0</v>
      </c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现金分红</t>
          </r>
        </is>
      </c>
      <c r="B16" s="12"/>
      <c r="C16" s="12"/>
      <c r="D16" s="15">
        <f>-'三表-假设'!D62</f>
        <v>-38896.94641181843</v>
      </c>
      <c r="E16" s="15">
        <f>-'三表-假设'!E62</f>
        <v>-44284.44267794304</v>
      </c>
      <c r="F16" s="15">
        <f>-'三表-假设'!F62</f>
        <v>-49672.31298245446</v>
      </c>
      <c r="G16" s="15">
        <f>-'三表-假设'!G62</f>
        <v>-54112.23896633666</v>
      </c>
      <c r="H16" s="15">
        <f>-'三表-假设'!H62</f>
        <v>-57902.35237717192</v>
      </c>
    </row>
    <row r="17" ht="20" customHeight="1">
      <c r="A17" s="19" t="inlineStr">
        <is>
          <r>
            <rPr>
              <b/>
              <sz val="12"/>
              <rFont val="KaiTi"/>
              <family val="2"/>
            </rPr>
            <t xml:space="preserve">筹资活动现金流量净额（模型口径）</t>
          </r>
        </is>
      </c>
      <c r="B17" s="19"/>
      <c r="C17" s="19"/>
      <c r="D17" s="24">
        <f>D15+D16</f>
        <v>-38896.94641181843</v>
      </c>
      <c r="E17" s="24">
        <f>E15+E16</f>
        <v>-44284.44267794304</v>
      </c>
      <c r="F17" s="24">
        <f>F15+F16</f>
        <v>-49672.31298245446</v>
      </c>
      <c r="G17" s="24">
        <f>G15+G16</f>
        <v>-54112.23896633666</v>
      </c>
      <c r="H17" s="24">
        <f>H15+H16</f>
        <v>-57902.35237717192</v>
      </c>
    </row>
    <row r="18" ht="20" customHeight="1"/>
    <row r="19" ht="20" customHeight="1">
      <c r="A19" s="12" t="inlineStr">
        <is>
          <r>
            <rPr>
              <sz val="12"/>
              <rFont val="KaiTi"/>
              <family val="2"/>
            </rPr>
            <t xml:space="preserve">现金净增加额</t>
          </r>
        </is>
      </c>
      <c r="B19" s="12"/>
      <c r="C19" s="12"/>
      <c r="D19" s="15">
        <f>D10+D13+D17</f>
        <v>17182.468795186724</v>
      </c>
      <c r="E19" s="15">
        <f>E10+E13+E17</f>
        <v>23888.295690579864</v>
      </c>
      <c r="F19" s="15">
        <f>F10+F13+F17</f>
        <v>32077.27037524787</v>
      </c>
      <c r="G19" s="15">
        <f>G10+G13+G17</f>
        <v>41421.75105822185</v>
      </c>
      <c r="H19" s="15">
        <f>H10+H13+H17</f>
        <v>43766.434980520164</v>
      </c>
    </row>
    <row r="20" ht="20" customHeight="1">
      <c r="A20" s="12" t="inlineStr">
        <is>
          <r>
            <rPr>
              <sz val="12"/>
              <rFont val="KaiTi"/>
              <family val="2"/>
            </rPr>
            <t xml:space="preserve">期初现金</t>
          </r>
        </is>
      </c>
      <c r="B20" s="12"/>
      <c r="C20" s="12"/>
      <c r="D20" s="23">
        <f>'三表-资产负债表'!C6</f>
        <v>333512.927</v>
      </c>
      <c r="E20" s="15">
        <f>D21</f>
        <v>350695.39579518675</v>
      </c>
      <c r="F20" s="15">
        <f>E21</f>
        <v>374583.6914857666</v>
      </c>
      <c r="G20" s="15">
        <f>F21</f>
        <v>406660.9618610145</v>
      </c>
      <c r="H20" s="15">
        <f>G21</f>
        <v>448082.71291923634</v>
      </c>
    </row>
    <row r="21" ht="20" customHeight="1">
      <c r="A21" s="5" t="inlineStr">
        <is>
          <r>
            <rPr>
              <sz val="12"/>
              <rFont val="KaiTi"/>
              <family val="2"/>
            </rPr>
            <t xml:space="preserve">期末现金</t>
          </r>
        </is>
      </c>
      <c r="B21" s="5"/>
      <c r="C21" s="5"/>
      <c r="D21" s="8">
        <f>D20+D19</f>
        <v>350695.39579518675</v>
      </c>
      <c r="E21" s="8">
        <f>E20+E19</f>
        <v>374583.6914857666</v>
      </c>
      <c r="F21" s="8">
        <f>F20+F19</f>
        <v>406660.9618610145</v>
      </c>
      <c r="G21" s="8">
        <f>G20+G19</f>
        <v>448082.71291923634</v>
      </c>
      <c r="H21" s="8">
        <f>H20+H19</f>
        <v>491849.1478997565</v>
      </c>
      <c r="I21" s="2"/>
      <c r="J21" s="2" t="inlineStr">
        <is>
          <r>
            <rPr>
              <i/>
              <sz val="9"/>
              <color rgb="FF595959"/>
              <rFont val="KaiTi"/>
              <family val="2"/>
            </rPr>
            <t xml:space="preserve">期末现金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期初现金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经营、投资与筹资活动现金流。</t>
          </r>
        </is>
      </c>
    </row>
  </sheetData>
  <pageMargins left="0.5" right="0.5" top="0.6" bottom="0.6" header="0.3" footer="0.3"/>
  <pageSetup paperSize="9" orientation="landscape" fitToWidth="1" fitToHeight="0"/>
</worksheet>
</file>

<file path=xl/worksheets/sheet12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6.0" customWidth="1"/>
    <col min="2" max="2" width="12.5" customWidth="1"/>
    <col min="3" max="3" width="12.5" customWidth="1"/>
    <col min="4" max="4" width="10.0" customWidth="1"/>
    <col min="5" max="5" width="9.0" customWidth="1"/>
    <col min="6" max="6" width="44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历史财务数据（</t>
          </r>
          <r>
            <rPr>
              <b/>
              <sz val="14"/>
              <color rgb="FF1F3864"/>
              <rFont val="Arial"/>
              <family val="2"/>
            </rPr>
            <t xml:space="preserve">2024A / 2025A</t>
          </r>
          <r>
            <rPr>
              <b/>
              <sz val="14"/>
              <color rgb="FF1F3864"/>
              <rFont val="KaiTi"/>
              <family val="2"/>
            </rPr>
            <t xml:space="preserve">，合并报表）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金额单位：百万元（每股为元）；蓝色为年报抽取值（逐字核对原文），黑色为公式；来源为年报 </t>
          </r>
          <r>
            <rPr>
              <i/>
              <sz val="9"/>
              <color rgb="FF595959"/>
              <rFont val="Arial"/>
              <family val="2"/>
            </rPr>
            <t xml:space="preserve">PDF </t>
          </r>
          <r>
            <rPr>
              <i/>
              <sz val="9"/>
              <color rgb="FF595959"/>
              <rFont val="KaiTi"/>
              <family val="2"/>
            </rPr>
            <t xml:space="preserve">页码</t>
          </r>
        </is>
      </c>
    </row>
    <row r="3" ht="20" customHeight="1"/>
    <row r="4" ht="36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" s="3" t="inlineStr">
        <is>
          <t xml:space="preserve">FY2024A</t>
        </is>
      </c>
      <c r="C4" s="3" t="inlineStr">
        <is>
          <t xml:space="preserve">FY2025A</t>
        </is>
      </c>
      <c r="D4" s="3" t="inlineStr">
        <is>
          <r>
            <rPr>
              <b/>
              <sz val="12"/>
              <color rgb="FFFFFFFF"/>
              <rFont val="KaiTi"/>
              <family val="2"/>
            </rPr>
            <t xml:space="preserve">同比 </t>
          </r>
          <r>
            <rPr>
              <b/>
              <sz val="12"/>
              <color rgb="FFFFFFFF"/>
              <rFont val="Arial"/>
              <family val="2"/>
            </rPr>
            <t xml:space="preserve">/ </t>
          </r>
          <r>
            <rPr>
              <b/>
              <sz val="12"/>
              <color rgb="FFFFFFFF"/>
              <rFont val="KaiTi"/>
              <family val="2"/>
            </rPr>
            <t xml:space="preserve">变动</t>
          </r>
        </is>
      </c>
      <c r="E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来源页</t>
          </r>
        </is>
      </c>
      <c r="F4" s="3" t="inlineStr">
        <is>
          <r>
            <rPr>
              <b/>
              <sz val="12"/>
              <color rgb="FFFFFFFF"/>
              <rFont val="KaiTi"/>
              <family val="2"/>
            </rPr>
            <t xml:space="preserve">原文科目</t>
          </r>
        </is>
      </c>
    </row>
    <row r="5" ht="20" customHeight="1">
      <c r="A5" s="31" t="inlineStr">
        <is>
          <r>
            <rPr>
              <b/>
              <sz val="12"/>
              <rFont val="KaiTi"/>
              <family val="2"/>
            </rPr>
            <t xml:space="preserve">利润表</t>
          </r>
        </is>
      </c>
      <c r="B5" s="31"/>
      <c r="C5" s="31"/>
      <c r="D5" s="31"/>
      <c r="E5" s="31"/>
      <c r="F5" s="31"/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营业收入（百万元）</t>
          </r>
        </is>
      </c>
      <c r="B6" s="22">
        <v>362012.554</v>
      </c>
      <c r="C6" s="22">
        <v>423701.834</v>
      </c>
      <c r="D6" s="45">
        <f>IF(B6=0,"NM",(C6-B6)/ABS(B6))</f>
        <v>0.17040646606968213</v>
      </c>
      <c r="E6" s="12" t="inlineStr">
        <is>
          <t xml:space="preserve">p.116</t>
        </is>
      </c>
      <c r="F6" s="12" t="inlineStr">
        <is>
          <r>
            <rPr>
              <sz val="12"/>
              <rFont val="KaiTi"/>
              <family val="2"/>
            </rPr>
            <t xml:space="preserve">其中：营业收入</t>
          </r>
        </is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营业成本（百万元）</t>
          </r>
        </is>
      </c>
      <c r="B7" s="22">
        <v>273518.959</v>
      </c>
      <c r="C7" s="22">
        <v>312383.297</v>
      </c>
      <c r="D7" s="45">
        <f>IF(B7=0,"NM",(C7-B7)/ABS(B7))</f>
        <v>0.14209010644852613</v>
      </c>
      <c r="E7" s="12" t="inlineStr">
        <is>
          <t xml:space="preserve">p.116</t>
        </is>
      </c>
      <c r="F7" s="12" t="inlineStr">
        <is>
          <r>
            <rPr>
              <sz val="12"/>
              <rFont val="KaiTi"/>
              <family val="2"/>
            </rPr>
            <t xml:space="preserve">其中：营业成本</t>
          </r>
        </is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销售费用（百万元）</t>
          </r>
        </is>
      </c>
      <c r="B8" s="22">
        <v>3562.797</v>
      </c>
      <c r="C8" s="22">
        <v>3735.118</v>
      </c>
      <c r="D8" s="45">
        <f>IF(B8=0,"NM",(C8-B8)/ABS(B8))</f>
        <v>0.048366774755901024</v>
      </c>
      <c r="E8" s="12" t="inlineStr">
        <is>
          <t xml:space="preserve">p.116</t>
        </is>
      </c>
      <c r="F8" s="12" t="inlineStr">
        <is>
          <r>
            <rPr>
              <sz val="12"/>
              <rFont val="KaiTi"/>
              <family val="2"/>
            </rPr>
            <t xml:space="preserve">销售费用</t>
          </r>
        </is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管理费用（百万元）</t>
          </r>
        </is>
      </c>
      <c r="B9" s="22">
        <v>9689.839</v>
      </c>
      <c r="C9" s="22">
        <v>11666.741</v>
      </c>
      <c r="D9" s="45">
        <f>IF(B9=0,"NM",(C9-B9)/ABS(B9))</f>
        <v>0.20401804405625315</v>
      </c>
      <c r="E9" s="12" t="inlineStr">
        <is>
          <t xml:space="preserve">p.116</t>
        </is>
      </c>
      <c r="F9" s="12" t="inlineStr">
        <is>
          <r>
            <rPr>
              <sz val="12"/>
              <rFont val="KaiTi"/>
              <family val="2"/>
            </rPr>
            <t xml:space="preserve">管理费用</t>
          </r>
        </is>
      </c>
    </row>
    <row r="10" ht="20" customHeight="1">
      <c r="A10" s="12" t="inlineStr">
        <is>
          <r>
            <rPr>
              <sz val="12"/>
              <rFont val="KaiTi"/>
              <family val="2"/>
            </rPr>
            <t xml:space="preserve">研发费用（百万元）</t>
          </r>
        </is>
      </c>
      <c r="B10" s="22">
        <v>18606.756</v>
      </c>
      <c r="C10" s="22">
        <v>22146.581</v>
      </c>
      <c r="D10" s="45">
        <f>IF(B10=0,"NM",(C10-B10)/ABS(B10))</f>
        <v>0.19024407048708528</v>
      </c>
      <c r="E10" s="12" t="inlineStr">
        <is>
          <t xml:space="preserve">p.116</t>
        </is>
      </c>
      <c r="F10" s="12" t="inlineStr">
        <is>
          <r>
            <rPr>
              <sz val="12"/>
              <rFont val="KaiTi"/>
              <family val="2"/>
            </rPr>
            <t xml:space="preserve">研发费用</t>
          </r>
        </is>
      </c>
    </row>
    <row r="11" ht="20" customHeight="1">
      <c r="A11" s="12" t="inlineStr">
        <is>
          <r>
            <rPr>
              <sz val="12"/>
              <rFont val="KaiTi"/>
              <family val="2"/>
            </rPr>
            <t xml:space="preserve">财务费用（百万元）</t>
          </r>
        </is>
      </c>
      <c r="B11" s="22">
        <v>-4131.918</v>
      </c>
      <c r="C11" s="22">
        <v>-7939.863</v>
      </c>
      <c r="D11" s="45">
        <f>IF(B11=0,"NM",(C11-B11)/ABS(B11))</f>
        <v>-0.921592587268189</v>
      </c>
      <c r="E11" s="12" t="inlineStr">
        <is>
          <t xml:space="preserve">p.116</t>
        </is>
      </c>
      <c r="F11" s="12" t="inlineStr">
        <is>
          <r>
            <rPr>
              <sz val="12"/>
              <rFont val="KaiTi"/>
              <family val="2"/>
            </rPr>
            <t xml:space="preserve">财务费用</t>
          </r>
        </is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投资收益（百万元）</t>
          </r>
        </is>
      </c>
      <c r="B12" s="22">
        <v>3987.823</v>
      </c>
      <c r="C12" s="22">
        <v>7970.552</v>
      </c>
      <c r="D12" s="45">
        <f>IF(B12=0,"NM",(C12-B12)/ABS(B12))</f>
        <v>0.9987226113094788</v>
      </c>
      <c r="E12" s="12" t="inlineStr">
        <is>
          <t xml:space="preserve">p.116</t>
        </is>
      </c>
      <c r="F12" s="12" t="inlineStr">
        <is>
          <r>
            <rPr>
              <sz val="12"/>
              <rFont val="KaiTi"/>
              <family val="2"/>
            </rPr>
            <t xml:space="preserve">投资收益</t>
          </r>
        </is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公允价值变动收益（百万元）</t>
          </r>
        </is>
      </c>
      <c r="B13" s="22">
        <v>664.223</v>
      </c>
      <c r="C13" s="22">
        <v>974.079</v>
      </c>
      <c r="D13" s="45">
        <f>IF(B13=0,"NM",(C13-B13)/ABS(B13))</f>
        <v>0.466493933513293</v>
      </c>
      <c r="E13" s="12" t="inlineStr">
        <is>
          <t xml:space="preserve">p.116</t>
        </is>
      </c>
      <c r="F13" s="12" t="inlineStr">
        <is>
          <r>
            <rPr>
              <sz val="12"/>
              <rFont val="KaiTi"/>
              <family val="2"/>
            </rPr>
            <t xml:space="preserve">公允价值变动收益</t>
          </r>
        </is>
      </c>
    </row>
    <row r="14" ht="20" customHeight="1">
      <c r="A14" s="19" t="inlineStr">
        <is>
          <r>
            <rPr>
              <b/>
              <sz val="12"/>
              <rFont val="KaiTi"/>
              <family val="2"/>
            </rPr>
            <t xml:space="preserve">营业利润（百万元）</t>
          </r>
        </is>
      </c>
      <c r="B14" s="20">
        <v>64051.799</v>
      </c>
      <c r="C14" s="20">
        <v>89518.636</v>
      </c>
      <c r="D14" s="46">
        <f>IF(B14=0,"NM",(C14-B14)/ABS(B14))</f>
        <v>0.3975975288375585</v>
      </c>
      <c r="E14" s="19" t="inlineStr">
        <is>
          <t xml:space="preserve">p.117</t>
        </is>
      </c>
      <c r="F14" s="19" t="inlineStr">
        <is>
          <r>
            <rPr>
              <b/>
              <sz val="12"/>
              <rFont val="KaiTi"/>
              <family val="2"/>
            </rPr>
            <t xml:space="preserve">三、营业利润</t>
          </r>
        </is>
      </c>
    </row>
    <row r="15" ht="20" customHeight="1">
      <c r="A15" s="19" t="inlineStr">
        <is>
          <r>
            <rPr>
              <b/>
              <sz val="12"/>
              <rFont val="KaiTi"/>
              <family val="2"/>
            </rPr>
            <t xml:space="preserve">利润总额（百万元）</t>
          </r>
        </is>
      </c>
      <c r="B15" s="20">
        <v>63182.039</v>
      </c>
      <c r="C15" s="20">
        <v>89526.545</v>
      </c>
      <c r="D15" s="46">
        <f>IF(B15=0,"NM",(C15-B15)/ABS(B15))</f>
        <v>0.4169619470495405</v>
      </c>
      <c r="E15" s="19" t="inlineStr">
        <is>
          <t xml:space="preserve">p.117</t>
        </is>
      </c>
      <c r="F15" s="19" t="inlineStr">
        <is>
          <r>
            <rPr>
              <b/>
              <sz val="12"/>
              <rFont val="KaiTi"/>
              <family val="2"/>
            </rPr>
            <t xml:space="preserve">四、利润总额</t>
          </r>
        </is>
      </c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所得税费用（百万元）</t>
          </r>
        </is>
      </c>
      <c r="B16" s="22">
        <v>9175.245</v>
      </c>
      <c r="C16" s="22">
        <v>12740.236</v>
      </c>
      <c r="D16" s="45">
        <f>IF(B16=0,"NM",(C16-B16)/ABS(B16))</f>
        <v>0.3885445020814158</v>
      </c>
      <c r="E16" s="12" t="inlineStr">
        <is>
          <t xml:space="preserve">p.117</t>
        </is>
      </c>
      <c r="F16" s="12" t="inlineStr">
        <is>
          <r>
            <rPr>
              <sz val="12"/>
              <rFont val="KaiTi"/>
              <family val="2"/>
            </rPr>
            <t xml:space="preserve">减：所得税费用</t>
          </r>
        </is>
      </c>
    </row>
    <row r="17" ht="20" customHeight="1">
      <c r="A17" s="19" t="inlineStr">
        <is>
          <r>
            <rPr>
              <b/>
              <sz val="12"/>
              <rFont val="KaiTi"/>
              <family val="2"/>
            </rPr>
            <t xml:space="preserve">净利润（百万元）</t>
          </r>
        </is>
      </c>
      <c r="B17" s="20">
        <v>54006.794</v>
      </c>
      <c r="C17" s="20">
        <v>76786.309</v>
      </c>
      <c r="D17" s="46">
        <f>IF(B17=0,"NM",(C17-B17)/ABS(B17))</f>
        <v>0.4217898029644195</v>
      </c>
      <c r="E17" s="19" t="inlineStr">
        <is>
          <t xml:space="preserve">p.117</t>
        </is>
      </c>
      <c r="F17" s="19" t="inlineStr">
        <is>
          <r>
            <rPr>
              <b/>
              <sz val="12"/>
              <rFont val="KaiTi"/>
              <family val="2"/>
            </rPr>
            <t xml:space="preserve">五、净利润</t>
          </r>
        </is>
      </c>
    </row>
    <row r="18" ht="20" customHeight="1">
      <c r="A18" s="19" t="inlineStr">
        <is>
          <r>
            <rPr>
              <b/>
              <sz val="12"/>
              <rFont val="KaiTi"/>
              <family val="2"/>
            </rPr>
            <t xml:space="preserve">归属于上市公司股东的净利润（百万元）</t>
          </r>
        </is>
      </c>
      <c r="B18" s="20">
        <v>50744.682</v>
      </c>
      <c r="C18" s="20">
        <v>72201.282</v>
      </c>
      <c r="D18" s="46">
        <f>IF(B18=0,"NM",(C18-B18)/ABS(B18))</f>
        <v>0.4228344558351948</v>
      </c>
      <c r="E18" s="19" t="inlineStr">
        <is>
          <t xml:space="preserve">p.11</t>
        </is>
      </c>
      <c r="F18" s="19" t="inlineStr">
        <is>
          <r>
            <rPr>
              <b/>
              <sz val="12"/>
              <rFont val="KaiTi"/>
              <family val="2"/>
            </rPr>
            <t xml:space="preserve">归属于上市公司股东的净利润</t>
          </r>
        </is>
      </c>
    </row>
    <row r="19" ht="20" customHeight="1">
      <c r="A19" s="12" t="inlineStr">
        <is>
          <r>
            <rPr>
              <sz val="12"/>
              <rFont val="KaiTi"/>
              <family val="2"/>
            </rPr>
            <t xml:space="preserve">归属于上市公司股东的扣除非经常性损益的净利润（百万元）</t>
          </r>
        </is>
      </c>
      <c r="B19" s="22">
        <v>44992.919</v>
      </c>
      <c r="C19" s="22">
        <v>64507.864</v>
      </c>
      <c r="D19" s="45">
        <f>IF(B19=0,"NM",(C19-B19)/ABS(B19))</f>
        <v>0.43373369485096086</v>
      </c>
      <c r="E19" s="12" t="inlineStr">
        <is>
          <t xml:space="preserve">p.11</t>
        </is>
      </c>
      <c r="F19" s="12" t="inlineStr">
        <is>
          <r>
            <rPr>
              <sz val="12"/>
              <rFont val="KaiTi"/>
              <family val="2"/>
            </rPr>
            <t xml:space="preserve">归属于上市公司股东的扣除非经常性损益的净利润</t>
          </r>
        </is>
      </c>
    </row>
    <row r="20" ht="20" customHeight="1">
      <c r="A20" s="12" t="inlineStr">
        <is>
          <r>
            <rPr>
              <sz val="12"/>
              <rFont val="KaiTi"/>
              <family val="2"/>
            </rPr>
            <t xml:space="preserve">非经常性损益合计（百万元）</t>
          </r>
        </is>
      </c>
      <c r="B20" s="22">
        <v>5751.762</v>
      </c>
      <c r="C20" s="22">
        <v>7693.417</v>
      </c>
      <c r="D20" s="45">
        <f>IF(B20=0,"NM",(C20-B20)/ABS(B20))</f>
        <v>0.33757568550298167</v>
      </c>
      <c r="E20" s="12" t="inlineStr">
        <is>
          <t xml:space="preserve">p.12</t>
        </is>
      </c>
      <c r="F20" s="12" t="inlineStr">
        <is>
          <r>
            <rPr>
              <sz val="12"/>
              <rFont val="KaiTi"/>
              <family val="2"/>
            </rPr>
            <t xml:space="preserve">合计</t>
          </r>
        </is>
      </c>
    </row>
    <row r="21" ht="20" customHeight="1">
      <c r="A21" s="31" t="inlineStr">
        <is>
          <r>
            <rPr>
              <b/>
              <sz val="12"/>
              <rFont val="KaiTi"/>
              <family val="2"/>
            </rPr>
            <t xml:space="preserve">资产负债表</t>
          </r>
        </is>
      </c>
      <c r="B21" s="31"/>
      <c r="C21" s="31"/>
      <c r="D21" s="31"/>
      <c r="E21" s="31"/>
      <c r="F21" s="31"/>
    </row>
    <row r="22" ht="20" customHeight="1">
      <c r="A22" s="12" t="inlineStr">
        <is>
          <r>
            <rPr>
              <sz val="12"/>
              <rFont val="KaiTi"/>
              <family val="2"/>
            </rPr>
            <t xml:space="preserve">货币资金（百万元）</t>
          </r>
        </is>
      </c>
      <c r="B22" s="22">
        <v>303511.993</v>
      </c>
      <c r="C22" s="22">
        <v>333512.927</v>
      </c>
      <c r="D22" s="45">
        <f>IF(B22=0,"NM",(C22-B22)/ABS(B22))</f>
        <v>0.09884595894699952</v>
      </c>
      <c r="E22" s="12" t="inlineStr">
        <is>
          <t xml:space="preserve">p.111</t>
        </is>
      </c>
      <c r="F22" s="12" t="inlineStr">
        <is>
          <r>
            <rPr>
              <sz val="12"/>
              <rFont val="KaiTi"/>
              <family val="2"/>
            </rPr>
            <t xml:space="preserve">货币资金</t>
          </r>
        </is>
      </c>
    </row>
    <row r="23" ht="20" customHeight="1">
      <c r="A23" s="12" t="inlineStr">
        <is>
          <r>
            <rPr>
              <sz val="12"/>
              <rFont val="KaiTi"/>
              <family val="2"/>
            </rPr>
            <t xml:space="preserve">应收账款（百万元）</t>
          </r>
        </is>
      </c>
      <c r="B23" s="22">
        <v>64135.51</v>
      </c>
      <c r="C23" s="22">
        <v>76403.264</v>
      </c>
      <c r="D23" s="45">
        <f>IF(B23=0,"NM",(C23-B23)/ABS(B23))</f>
        <v>0.19127865358831625</v>
      </c>
      <c r="E23" s="12" t="inlineStr">
        <is>
          <t xml:space="preserve">p.111</t>
        </is>
      </c>
      <c r="F23" s="12" t="inlineStr">
        <is>
          <r>
            <rPr>
              <sz val="12"/>
              <rFont val="KaiTi"/>
              <family val="2"/>
            </rPr>
            <t xml:space="preserve">应收账款</t>
          </r>
        </is>
      </c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存货（百万元）</t>
          </r>
        </is>
      </c>
      <c r="B24" s="22">
        <v>59835.533</v>
      </c>
      <c r="C24" s="22">
        <v>94526.239</v>
      </c>
      <c r="D24" s="45">
        <f>IF(B24=0,"NM",(C24-B24)/ABS(B24))</f>
        <v>0.5797676440853297</v>
      </c>
      <c r="E24" s="12" t="inlineStr">
        <is>
          <t xml:space="preserve">p.111</t>
        </is>
      </c>
      <c r="F24" s="12" t="inlineStr">
        <is>
          <r>
            <rPr>
              <sz val="12"/>
              <rFont val="KaiTi"/>
              <family val="2"/>
            </rPr>
            <t xml:space="preserve">存货</t>
          </r>
        </is>
      </c>
    </row>
    <row r="25" ht="20" customHeight="1">
      <c r="A25" s="12" t="inlineStr">
        <is>
          <r>
            <rPr>
              <sz val="12"/>
              <rFont val="KaiTi"/>
              <family val="2"/>
            </rPr>
            <t xml:space="preserve">固定资产（百万元）</t>
          </r>
        </is>
      </c>
      <c r="B25" s="22">
        <v>112589.053</v>
      </c>
      <c r="C25" s="22">
        <v>146400.592</v>
      </c>
      <c r="D25" s="45">
        <f>IF(B25=0,"NM",(C25-B25)/ABS(B25))</f>
        <v>0.30030929383516536</v>
      </c>
      <c r="E25" s="12" t="inlineStr">
        <is>
          <t xml:space="preserve">p.112</t>
        </is>
      </c>
      <c r="F25" s="12" t="inlineStr">
        <is>
          <r>
            <rPr>
              <sz val="12"/>
              <rFont val="KaiTi"/>
              <family val="2"/>
            </rPr>
            <t xml:space="preserve">固定资产</t>
          </r>
        </is>
      </c>
    </row>
    <row r="26" ht="20" customHeight="1">
      <c r="A26" s="12" t="inlineStr">
        <is>
          <r>
            <rPr>
              <sz val="12"/>
              <rFont val="KaiTi"/>
              <family val="2"/>
            </rPr>
            <t xml:space="preserve">在建工程（百万元）</t>
          </r>
        </is>
      </c>
      <c r="B26" s="22">
        <v>29754.703</v>
      </c>
      <c r="C26" s="22">
        <v>29733.108</v>
      </c>
      <c r="D26" s="45">
        <f>IF(B26=0,"NM",(C26-B26)/ABS(B26))</f>
        <v>-0.0007257676206682743</v>
      </c>
      <c r="E26" s="12" t="inlineStr">
        <is>
          <t xml:space="preserve">p.112</t>
        </is>
      </c>
      <c r="F26" s="12" t="inlineStr">
        <is>
          <r>
            <rPr>
              <sz val="12"/>
              <rFont val="KaiTi"/>
              <family val="2"/>
            </rPr>
            <t xml:space="preserve">在建工程</t>
          </r>
        </is>
      </c>
    </row>
    <row r="27" ht="20" customHeight="1">
      <c r="A27" s="19" t="inlineStr">
        <is>
          <r>
            <rPr>
              <b/>
              <sz val="12"/>
              <rFont val="KaiTi"/>
              <family val="2"/>
            </rPr>
            <t xml:space="preserve">资产总计（百万元）</t>
          </r>
        </is>
      </c>
      <c r="B27" s="20">
        <v>786658.123</v>
      </c>
      <c r="C27" s="20">
        <v>974827.544</v>
      </c>
      <c r="D27" s="46">
        <f>IF(B27=0,"NM",(C27-B27)/ABS(B27))</f>
        <v>0.23920101439033886</v>
      </c>
      <c r="E27" s="19" t="inlineStr">
        <is>
          <t xml:space="preserve">p.112</t>
        </is>
      </c>
      <c r="F27" s="19" t="inlineStr">
        <is>
          <r>
            <rPr>
              <b/>
              <sz val="12"/>
              <rFont val="KaiTi"/>
              <family val="2"/>
            </rPr>
            <t xml:space="preserve">资产总计</t>
          </r>
        </is>
      </c>
    </row>
    <row r="28" ht="20" customHeight="1">
      <c r="A28" s="12" t="inlineStr">
        <is>
          <r>
            <rPr>
              <sz val="12"/>
              <rFont val="KaiTi"/>
              <family val="2"/>
            </rPr>
            <t xml:space="preserve">应付账款（百万元）</t>
          </r>
        </is>
      </c>
      <c r="B28" s="22">
        <v>130977.408</v>
      </c>
      <c r="C28" s="22">
        <v>160328.962</v>
      </c>
      <c r="D28" s="45">
        <f>IF(B28=0,"NM",(C28-B28)/ABS(B28))</f>
        <v>0.22409631132721763</v>
      </c>
      <c r="E28" s="12" t="inlineStr">
        <is>
          <t xml:space="preserve">p.112</t>
        </is>
      </c>
      <c r="F28" s="12" t="inlineStr">
        <is>
          <r>
            <rPr>
              <sz val="12"/>
              <rFont val="KaiTi"/>
              <family val="2"/>
            </rPr>
            <t xml:space="preserve">应付账款</t>
          </r>
        </is>
      </c>
    </row>
    <row r="29" ht="20" customHeight="1">
      <c r="A29" s="12" t="inlineStr">
        <is>
          <r>
            <rPr>
              <sz val="12"/>
              <rFont val="KaiTi"/>
              <family val="2"/>
            </rPr>
            <t xml:space="preserve">一年内到期的非流动负债（百万元）</t>
          </r>
        </is>
      </c>
      <c r="B29" s="22">
        <v>22881.417</v>
      </c>
      <c r="C29" s="22">
        <v>22237.54</v>
      </c>
      <c r="D29" s="45">
        <f>IF(B29=0,"NM",(C29-B29)/ABS(B29))</f>
        <v>-0.028139734527804827</v>
      </c>
      <c r="E29" s="12" t="inlineStr">
        <is>
          <t xml:space="preserve">p.112</t>
        </is>
      </c>
      <c r="F29" s="12" t="inlineStr">
        <is>
          <r>
            <rPr>
              <sz val="12"/>
              <rFont val="KaiTi"/>
              <family val="2"/>
            </rPr>
            <t xml:space="preserve">一年内到期的非流动负债</t>
          </r>
        </is>
      </c>
    </row>
    <row r="30" ht="20" customHeight="1">
      <c r="A30" s="12" t="inlineStr">
        <is>
          <r>
            <rPr>
              <sz val="12"/>
              <rFont val="KaiTi"/>
              <family val="2"/>
            </rPr>
            <t xml:space="preserve">租赁负债（百万元）</t>
          </r>
        </is>
      </c>
      <c r="B30" s="22">
        <v>662.814</v>
      </c>
      <c r="C30" s="22">
        <v>2805.081</v>
      </c>
      <c r="D30" s="45">
        <f>IF(B30=0,"NM",(C30-B30)/ABS(B30))</f>
        <v>3.2320786827073666</v>
      </c>
      <c r="E30" s="12" t="inlineStr">
        <is>
          <t xml:space="preserve">p.113</t>
        </is>
      </c>
      <c r="F30" s="12" t="inlineStr">
        <is>
          <r>
            <rPr>
              <sz val="12"/>
              <rFont val="KaiTi"/>
              <family val="2"/>
            </rPr>
            <t xml:space="preserve">租赁负债</t>
          </r>
        </is>
      </c>
    </row>
    <row r="31" ht="20" customHeight="1">
      <c r="A31" s="19" t="inlineStr">
        <is>
          <r>
            <rPr>
              <b/>
              <sz val="12"/>
              <rFont val="KaiTi"/>
              <family val="2"/>
            </rPr>
            <t xml:space="preserve">负债合计（百万元）</t>
          </r>
        </is>
      </c>
      <c r="B31" s="20">
        <v>513201.949</v>
      </c>
      <c r="C31" s="20">
        <v>603801.22</v>
      </c>
      <c r="D31" s="46">
        <f>IF(B31=0,"NM",(C31-B31)/ABS(B31))</f>
        <v>0.17653726993152932</v>
      </c>
      <c r="E31" s="19" t="inlineStr">
        <is>
          <t xml:space="preserve">p.113</t>
        </is>
      </c>
      <c r="F31" s="19" t="inlineStr">
        <is>
          <r>
            <rPr>
              <b/>
              <sz val="12"/>
              <rFont val="KaiTi"/>
              <family val="2"/>
            </rPr>
            <t xml:space="preserve">负债合计</t>
          </r>
        </is>
      </c>
    </row>
    <row r="32" ht="20" customHeight="1">
      <c r="A32" s="12" t="inlineStr">
        <is>
          <r>
            <rPr>
              <sz val="12"/>
              <rFont val="KaiTi"/>
              <family val="2"/>
            </rPr>
            <t xml:space="preserve">归属于母公司所有者权益合计（百万元）</t>
          </r>
        </is>
      </c>
      <c r="B32" s="22">
        <v>246930.033</v>
      </c>
      <c r="C32" s="22">
        <v>337107.747</v>
      </c>
      <c r="D32" s="45">
        <f>IF(B32=0,"NM",(C32-B32)/ABS(B32))</f>
        <v>0.3651954073970418</v>
      </c>
      <c r="E32" s="12" t="inlineStr">
        <is>
          <t xml:space="preserve">p.113</t>
        </is>
      </c>
      <c r="F32" s="12" t="inlineStr">
        <is>
          <r>
            <rPr>
              <sz val="12"/>
              <rFont val="KaiTi"/>
              <family val="2"/>
            </rPr>
            <t xml:space="preserve">归属于母公司所有者权益合计</t>
          </r>
        </is>
      </c>
    </row>
    <row r="33" ht="20" customHeight="1">
      <c r="A33" s="12" t="inlineStr">
        <is>
          <r>
            <rPr>
              <sz val="12"/>
              <rFont val="KaiTi"/>
              <family val="2"/>
            </rPr>
            <t xml:space="preserve">少数股东权益（百万元）</t>
          </r>
        </is>
      </c>
      <c r="B33" s="22">
        <v>26526.141</v>
      </c>
      <c r="C33" s="22">
        <v>33918.577</v>
      </c>
      <c r="D33" s="45">
        <f>IF(B33=0,"NM",(C33-B33)/ABS(B33))</f>
        <v>0.2786849395092938</v>
      </c>
      <c r="E33" s="12" t="inlineStr">
        <is>
          <t xml:space="preserve">p.113</t>
        </is>
      </c>
      <c r="F33" s="12" t="inlineStr">
        <is>
          <r>
            <rPr>
              <sz val="12"/>
              <rFont val="KaiTi"/>
              <family val="2"/>
            </rPr>
            <t xml:space="preserve">少数股东权益</t>
          </r>
        </is>
      </c>
    </row>
    <row r="34" ht="20" customHeight="1">
      <c r="A34" s="19" t="inlineStr">
        <is>
          <r>
            <rPr>
              <b/>
              <sz val="12"/>
              <rFont val="KaiTi"/>
              <family val="2"/>
            </rPr>
            <t xml:space="preserve">所有者权益合计（百万元）</t>
          </r>
        </is>
      </c>
      <c r="B34" s="20">
        <v>273456.174</v>
      </c>
      <c r="C34" s="20">
        <v>371026.324</v>
      </c>
      <c r="D34" s="46">
        <f>IF(B34=0,"NM",(C34-B34)/ABS(B34))</f>
        <v>0.35680360978062986</v>
      </c>
      <c r="E34" s="19" t="inlineStr">
        <is>
          <t xml:space="preserve">p.113</t>
        </is>
      </c>
      <c r="F34" s="19" t="inlineStr">
        <is>
          <r>
            <rPr>
              <b/>
              <sz val="12"/>
              <rFont val="KaiTi"/>
              <family val="2"/>
            </rPr>
            <t xml:space="preserve">所有者权益合计</t>
          </r>
        </is>
      </c>
    </row>
    <row r="35" ht="20" customHeight="1">
      <c r="A35" s="31" t="inlineStr">
        <is>
          <r>
            <rPr>
              <b/>
              <sz val="12"/>
              <rFont val="KaiTi"/>
              <family val="2"/>
            </rPr>
            <t xml:space="preserve">现金流量表</t>
          </r>
        </is>
      </c>
      <c r="B35" s="31"/>
      <c r="C35" s="31"/>
      <c r="D35" s="31"/>
      <c r="E35" s="31"/>
      <c r="F35" s="31"/>
    </row>
    <row r="36" ht="20" customHeight="1">
      <c r="A36" s="19" t="inlineStr">
        <is>
          <r>
            <rPr>
              <b/>
              <sz val="12"/>
              <rFont val="KaiTi"/>
              <family val="2"/>
            </rPr>
            <t xml:space="preserve">经营活动产生的现金流量净额（百万元）</t>
          </r>
        </is>
      </c>
      <c r="B36" s="20">
        <v>96990.345</v>
      </c>
      <c r="C36" s="20">
        <v>133219.982</v>
      </c>
      <c r="D36" s="46">
        <f>IF(B36=0,"NM",(C36-B36)/ABS(B36))</f>
        <v>0.373538592939328</v>
      </c>
      <c r="E36" s="19" t="inlineStr">
        <is>
          <t xml:space="preserve">p.120</t>
        </is>
      </c>
      <c r="F36" s="19" t="inlineStr">
        <is>
          <r>
            <rPr>
              <b/>
              <sz val="12"/>
              <rFont val="KaiTi"/>
              <family val="2"/>
            </rPr>
            <t xml:space="preserve">经营活动产生的现金流量净额</t>
          </r>
        </is>
      </c>
    </row>
    <row r="37" ht="20" customHeight="1">
      <c r="A37" s="12" t="inlineStr">
        <is>
          <r>
            <rPr>
              <sz val="12"/>
              <rFont val="KaiTi"/>
              <family val="2"/>
            </rPr>
            <t xml:space="preserve">购建固定资产、无形资产和其他长期资产支付的现金（百万元）</t>
          </r>
        </is>
      </c>
      <c r="B37" s="22">
        <v>31179.943</v>
      </c>
      <c r="C37" s="22">
        <v>42344.558</v>
      </c>
      <c r="D37" s="45">
        <f>IF(B37=0,"NM",(C37-B37)/ABS(B37))</f>
        <v>0.3580704108407125</v>
      </c>
      <c r="E37" s="12" t="inlineStr">
        <is>
          <t xml:space="preserve">p.120</t>
        </is>
      </c>
      <c r="F37" s="12" t="inlineStr">
        <is>
          <r>
            <rPr>
              <sz val="12"/>
              <rFont val="KaiTi"/>
              <family val="2"/>
            </rPr>
            <t xml:space="preserve">购建固定资产、无形资产和其他长期资产支付的现金</t>
          </r>
        </is>
      </c>
    </row>
    <row r="38" ht="20" customHeight="1">
      <c r="A38" s="12" t="inlineStr">
        <is>
          <r>
            <rPr>
              <sz val="12"/>
              <rFont val="KaiTi"/>
              <family val="2"/>
            </rPr>
            <t xml:space="preserve">固定资产折旧、油气资产折耗、生产性生物资产折旧（百万元）</t>
          </r>
        </is>
      </c>
      <c r="B38" s="22">
        <v>22437.872</v>
      </c>
      <c r="C38" s="22">
        <v>24322.78</v>
      </c>
      <c r="D38" s="45">
        <f>IF(B38=0,"NM",(C38-B38)/ABS(B38))</f>
        <v>0.0840056490205488</v>
      </c>
      <c r="E38" s="12" t="inlineStr">
        <is>
          <t xml:space="preserve">p.201</t>
        </is>
      </c>
      <c r="F38" s="12" t="inlineStr">
        <is>
          <r>
            <rPr>
              <sz val="12"/>
              <rFont val="KaiTi"/>
              <family val="2"/>
            </rPr>
            <t xml:space="preserve">固定资产折旧、油气资产折耗、生产性生物资产折旧</t>
          </r>
        </is>
      </c>
    </row>
    <row r="39" ht="20" customHeight="1">
      <c r="A39" s="12" t="inlineStr">
        <is>
          <r>
            <rPr>
              <sz val="12"/>
              <rFont val="KaiTi"/>
              <family val="2"/>
            </rPr>
            <t xml:space="preserve">无形资产摊销（百万元）</t>
          </r>
        </is>
      </c>
      <c r="B39" s="22">
        <v>470.401</v>
      </c>
      <c r="C39" s="22">
        <v>512.0</v>
      </c>
      <c r="D39" s="45">
        <f>IF(B39=0,"NM",(C39-B39)/ABS(B39))</f>
        <v>0.08843306030386838</v>
      </c>
      <c r="E39" s="12" t="inlineStr">
        <is>
          <t xml:space="preserve">p.201</t>
        </is>
      </c>
      <c r="F39" s="12" t="inlineStr">
        <is>
          <r>
            <rPr>
              <sz val="12"/>
              <rFont val="KaiTi"/>
              <family val="2"/>
            </rPr>
            <t xml:space="preserve">无形资产摊销</t>
          </r>
        </is>
      </c>
    </row>
    <row r="40" ht="20" customHeight="1">
      <c r="A40" s="31" t="inlineStr">
        <is>
          <r>
            <rPr>
              <b/>
              <sz val="12"/>
              <rFont val="KaiTi"/>
              <family val="2"/>
            </rPr>
            <t xml:space="preserve">每股与比率</t>
          </r>
        </is>
      </c>
      <c r="B40" s="31"/>
      <c r="C40" s="31"/>
      <c r="D40" s="31"/>
      <c r="E40" s="31"/>
      <c r="F40" s="31"/>
    </row>
    <row r="41" ht="20" customHeight="1">
      <c r="A41" s="12" t="inlineStr">
        <is>
          <r>
            <rPr>
              <sz val="12"/>
              <rFont val="KaiTi"/>
              <family val="2"/>
            </rPr>
            <t xml:space="preserve">基本每股收益（元）</t>
          </r>
        </is>
      </c>
      <c r="B41" s="25">
        <v>11.58</v>
      </c>
      <c r="C41" s="25">
        <v>16.14</v>
      </c>
      <c r="D41" s="45">
        <f>IF(B41=0,"NM",(C41-B41)/ABS(B41))</f>
        <v>0.3937823834196892</v>
      </c>
      <c r="E41" s="12" t="inlineStr">
        <is>
          <t xml:space="preserve">p.11</t>
        </is>
      </c>
      <c r="F41" s="12" t="inlineStr">
        <is>
          <r>
            <rPr>
              <sz val="12"/>
              <rFont val="KaiTi"/>
              <family val="2"/>
            </rPr>
            <t xml:space="preserve">基本每股收益（元</t>
          </r>
          <r>
            <rPr>
              <sz val="12"/>
              <rFont val="Arial"/>
              <family val="2"/>
            </rPr>
            <t xml:space="preserve">/</t>
          </r>
          <r>
            <rPr>
              <sz val="12"/>
              <rFont val="KaiTi"/>
              <family val="2"/>
            </rPr>
            <t xml:space="preserve">股）</t>
          </r>
        </is>
      </c>
    </row>
    <row r="42" ht="20" customHeight="1">
      <c r="A42" s="12" t="inlineStr">
        <is>
          <r>
            <rPr>
              <sz val="12"/>
              <rFont val="KaiTi"/>
              <family val="2"/>
            </rPr>
            <t xml:space="preserve">加权平均净资产收益率</t>
          </r>
        </is>
      </c>
      <c r="B42" s="28">
        <v>0.2413</v>
      </c>
      <c r="C42" s="28">
        <v>0.2491</v>
      </c>
      <c r="D42" s="47">
        <f>(C42-B42)*100</f>
        <v>0.7800000000000001</v>
      </c>
      <c r="E42" s="12" t="inlineStr">
        <is>
          <t xml:space="preserve">p.11</t>
        </is>
      </c>
      <c r="F42" s="12" t="inlineStr">
        <is>
          <r>
            <rPr>
              <sz val="12"/>
              <rFont val="KaiTi"/>
              <family val="2"/>
            </rPr>
            <t xml:space="preserve">加权平均净资产收益率</t>
          </r>
        </is>
      </c>
    </row>
    <row r="43" ht="20" customHeight="1">
      <c r="A43" s="12" t="inlineStr">
        <is>
          <r>
            <rPr>
              <sz val="12"/>
              <rFont val="KaiTi"/>
              <family val="2"/>
            </rPr>
            <t xml:space="preserve">毛利率</t>
          </r>
        </is>
      </c>
      <c r="B43" s="13">
        <f>(B6-B7)/B6</f>
        <v>0.2444489673692366</v>
      </c>
      <c r="C43" s="13">
        <f>(C6-C7)/C6</f>
        <v>0.26272847570445024</v>
      </c>
      <c r="D43" s="47">
        <f>(C43-B43)*100</f>
        <v>1.8279508335213634</v>
      </c>
      <c r="E43" s="12" t="inlineStr">
        <is>
          <r>
            <rPr>
              <sz val="12"/>
              <rFont val="KaiTi"/>
              <family val="2"/>
            </rPr>
            <t xml:space="preserve">派生</t>
          </r>
        </is>
      </c>
      <c r="F43" s="12"/>
    </row>
    <row r="44" ht="20" customHeight="1">
      <c r="A44" s="12" t="inlineStr">
        <is>
          <r>
            <rPr>
              <sz val="12"/>
              <rFont val="KaiTi"/>
              <family val="2"/>
            </rPr>
            <t xml:space="preserve">净利率</t>
          </r>
        </is>
      </c>
      <c r="B44" s="13">
        <f>B17/B6</f>
        <v>0.1491848650088527</v>
      </c>
      <c r="C44" s="13">
        <f>C17/C6</f>
        <v>0.18122722829658555</v>
      </c>
      <c r="D44" s="47">
        <f>(C44-B44)*100</f>
        <v>3.204236328773286</v>
      </c>
      <c r="E44" s="12" t="inlineStr">
        <is>
          <r>
            <rPr>
              <sz val="12"/>
              <rFont val="KaiTi"/>
              <family val="2"/>
            </rPr>
            <t xml:space="preserve">派生</t>
          </r>
        </is>
      </c>
      <c r="F44" s="12"/>
    </row>
    <row r="45" ht="20" customHeight="1">
      <c r="A45" s="12" t="inlineStr">
        <is>
          <r>
            <rPr>
              <sz val="12"/>
              <rFont val="KaiTi"/>
              <family val="2"/>
            </rPr>
            <t xml:space="preserve">资产负债率</t>
          </r>
        </is>
      </c>
      <c r="B45" s="13">
        <f>B31/B27</f>
        <v>0.6523824441586552</v>
      </c>
      <c r="C45" s="13">
        <f>C31/C27</f>
        <v>0.619392859502542</v>
      </c>
      <c r="D45" s="47">
        <f>(C45-B45)*100</f>
        <v>-3.2989584656113236</v>
      </c>
      <c r="E45" s="12" t="inlineStr">
        <is>
          <r>
            <rPr>
              <sz val="12"/>
              <rFont val="KaiTi"/>
              <family val="2"/>
            </rPr>
            <t xml:space="preserve">派生</t>
          </r>
        </is>
      </c>
      <c r="F45" s="12"/>
    </row>
    <row r="46" ht="20" customHeight="1">
      <c r="A46" s="12" t="inlineStr">
        <is>
          <r>
            <rPr>
              <sz val="12"/>
              <rFont val="KaiTi"/>
              <family val="2"/>
            </rPr>
            <t xml:space="preserve">经营现金流</t>
          </r>
          <r>
            <rPr>
              <sz val="12"/>
              <rFont val="Arial"/>
              <family val="2"/>
            </rPr>
            <t xml:space="preserve">/</t>
          </r>
          <r>
            <rPr>
              <sz val="12"/>
              <rFont val="KaiTi"/>
              <family val="2"/>
            </rPr>
            <t xml:space="preserve">归母净利润</t>
          </r>
        </is>
      </c>
      <c r="B46" s="16">
        <f>B36/B18</f>
        <v>1.911340088799847</v>
      </c>
      <c r="C46" s="16">
        <f>C36/C18</f>
        <v>1.8451193428947703</v>
      </c>
      <c r="D46" s="45">
        <f>IF(B46=0,"NM",(C46-B46)/ABS(B46))</f>
        <v>-0.0346462391978905</v>
      </c>
      <c r="E46" s="12" t="inlineStr">
        <is>
          <r>
            <rPr>
              <sz val="12"/>
              <rFont val="KaiTi"/>
              <family val="2"/>
            </rPr>
            <t xml:space="preserve">派生</t>
          </r>
        </is>
      </c>
      <c r="F46" s="12"/>
    </row>
  </sheetData>
  <pageMargins left="0.5" right="0.5" top="0.6" bottom="0.6" header="0.3" footer="0.3"/>
  <pageSetup paperSize="9" orientation="landscape" fitToWidth="1" fitToHeight="0"/>
</worksheet>
</file>

<file path=xl/worksheets/sheet13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6.0" customWidth="1"/>
    <col min="2" max="2" width="11.5" customWidth="1"/>
    <col min="3" max="3" width="11.5" customWidth="1"/>
    <col min="4" max="4" width="12.5" customWidth="1"/>
    <col min="5" max="5" width="12.5" customWidth="1"/>
    <col min="6" max="6" width="12.5" customWidth="1"/>
    <col min="7" max="7" width="12.5" customWidth="1"/>
    <col min="8" max="8" width="1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Arial"/>
              <family val="2"/>
            </rPr>
            <t xml:space="preserve">2025 </t>
          </r>
          <r>
            <rPr>
              <b/>
              <sz val="14"/>
              <color rgb="FF1F3864"/>
              <rFont val="KaiTi"/>
              <family val="2"/>
            </rPr>
            <t xml:space="preserve">年分季度数据（单季，合并报表）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单位：百万元；蓝色为年报</t>
          </r>
          <r>
            <rPr>
              <i/>
              <sz val="9"/>
              <color rgb="FF595959"/>
              <rFont val="Arial"/>
              <family val="2"/>
            </rPr>
            <t xml:space="preserve">“</t>
          </r>
          <r>
            <rPr>
              <i/>
              <sz val="9"/>
              <color rgb="FF595959"/>
              <rFont val="KaiTi"/>
              <family val="2"/>
            </rPr>
            <t xml:space="preserve">分季度主要财务数据</t>
          </r>
          <r>
            <rPr>
              <i/>
              <sz val="9"/>
              <color rgb="FF595959"/>
              <rFont val="Arial"/>
              <family val="2"/>
            </rPr>
            <t xml:space="preserve">”</t>
          </r>
          <r>
            <rPr>
              <i/>
              <sz val="9"/>
              <color rgb="FF595959"/>
              <rFont val="KaiTi"/>
              <family val="2"/>
            </rPr>
            <t xml:space="preserve">列示值，黑色为公式；差异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四季合计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全年报表值</t>
          </r>
        </is>
      </c>
    </row>
    <row r="3" ht="20" customHeight="1"/>
    <row r="4" ht="36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项目（百万元）</t>
          </r>
        </is>
      </c>
      <c r="B4" s="3" t="inlineStr">
        <is>
          <t xml:space="preserve">Q1</t>
        </is>
      </c>
      <c r="C4" s="3" t="inlineStr">
        <is>
          <t xml:space="preserve">Q2</t>
        </is>
      </c>
      <c r="D4" s="3" t="inlineStr">
        <is>
          <t xml:space="preserve">Q3</t>
        </is>
      </c>
      <c r="E4" s="3" t="inlineStr">
        <is>
          <t xml:space="preserve">Q4</t>
        </is>
      </c>
      <c r="F4" s="3" t="inlineStr">
        <is>
          <r>
            <rPr>
              <b/>
              <sz val="12"/>
              <color rgb="FFFFFFFF"/>
              <rFont val="KaiTi"/>
              <family val="2"/>
            </rPr>
            <t xml:space="preserve">四季合计</t>
          </r>
        </is>
      </c>
      <c r="G4" s="3" t="inlineStr">
        <is>
          <r>
            <rPr>
              <b/>
              <sz val="12"/>
              <color rgb="FFFFFFFF"/>
              <rFont val="KaiTi"/>
              <family val="2"/>
            </rPr>
            <t xml:space="preserve">全年（报表）</t>
          </r>
        </is>
      </c>
      <c r="H4" s="3" t="inlineStr">
        <is>
          <r>
            <rPr>
              <b/>
              <sz val="12"/>
              <color rgb="FFFFFFFF"/>
              <rFont val="KaiTi"/>
              <family val="2"/>
            </rPr>
            <t xml:space="preserve">差异</t>
          </r>
        </is>
      </c>
    </row>
    <row r="5" ht="20" customHeight="1">
      <c r="A5" s="12" t="inlineStr">
        <is>
          <r>
            <rPr>
              <sz val="12"/>
              <rFont val="KaiTi"/>
              <family val="2"/>
            </rPr>
            <t xml:space="preserve">营业收入</t>
          </r>
        </is>
      </c>
      <c r="B5" s="22">
        <v>84704.589</v>
      </c>
      <c r="C5" s="22">
        <v>94181.664</v>
      </c>
      <c r="D5" s="22">
        <v>104185.734</v>
      </c>
      <c r="E5" s="22">
        <v>140629.847</v>
      </c>
      <c r="F5" s="15">
        <f>SUM(B5:E5)</f>
        <v>423701.834</v>
      </c>
      <c r="G5" s="22">
        <v>423701.834</v>
      </c>
      <c r="H5" s="16">
        <f>ROUND(F5-G5,2)</f>
        <v>0.0</v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归属于上市公司股东的净利润</t>
          </r>
        </is>
      </c>
      <c r="B6" s="22">
        <v>13962.558</v>
      </c>
      <c r="C6" s="22">
        <v>16522.581</v>
      </c>
      <c r="D6" s="22">
        <v>18548.97</v>
      </c>
      <c r="E6" s="22">
        <v>23167.173</v>
      </c>
      <c r="F6" s="15">
        <f>SUM(B6:E6)</f>
        <v>72201.282</v>
      </c>
      <c r="G6" s="22">
        <v>72201.282</v>
      </c>
      <c r="H6" s="16">
        <f>ROUND(F6-G6,2)</f>
        <v>0.0</v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归属于上市公司股东的扣除非经常性损益的净利润</t>
          </r>
        </is>
      </c>
      <c r="B7" s="22">
        <v>11829.172</v>
      </c>
      <c r="C7" s="22">
        <v>15368.296</v>
      </c>
      <c r="D7" s="22">
        <v>16421.757</v>
      </c>
      <c r="E7" s="22">
        <v>20888.64</v>
      </c>
      <c r="F7" s="15">
        <f>SUM(B7:E7)</f>
        <v>64507.865</v>
      </c>
      <c r="G7" s="22">
        <v>64507.864</v>
      </c>
      <c r="H7" s="16">
        <f>ROUND(F7-G7,2)</f>
        <v>0.0</v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非经常性损益合计</t>
          </r>
        </is>
      </c>
      <c r="B8" s="15">
        <f>B6-B7</f>
        <v>2133.386</v>
      </c>
      <c r="C8" s="15">
        <f>C6-C7</f>
        <v>1154.285</v>
      </c>
      <c r="D8" s="15">
        <f>D6-D7</f>
        <v>2127.213</v>
      </c>
      <c r="E8" s="15">
        <f>E6-E7</f>
        <v>2278.533</v>
      </c>
      <c r="F8" s="15">
        <f>SUM(B8:E8)</f>
        <v>7693.417</v>
      </c>
      <c r="G8" s="22">
        <v>7693.417</v>
      </c>
      <c r="H8" s="16">
        <f>ROUND(F8-G8,2)</f>
        <v>0.0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经营活动产生的现金流量净额</t>
          </r>
        </is>
      </c>
      <c r="B9" s="22">
        <v>32868.257</v>
      </c>
      <c r="C9" s="22">
        <v>25818.809</v>
      </c>
      <c r="D9" s="22">
        <v>21973.364</v>
      </c>
      <c r="E9" s="22">
        <v>52559.552</v>
      </c>
      <c r="F9" s="15">
        <f>SUM(B9:E9)</f>
        <v>133219.982</v>
      </c>
      <c r="G9" s="22">
        <v>133219.982</v>
      </c>
      <c r="H9" s="16">
        <f>ROUND(F9-G9,2)</f>
        <v>0.0</v>
      </c>
    </row>
  </sheetData>
  <pageMargins left="0.5" right="0.5" top="0.6" bottom="0.6" header="0.3" footer="0.3"/>
  <pageSetup paperSize="9" orientation="landscape" fitToWidth="1" fitToHeight="0"/>
</worksheet>
</file>

<file path=xl/worksheets/sheet14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3" topLeftCell="B4" activePane="bottomRight" state="frozen"/>
      <selection pane="bottomRight" activeCell="B4" sqref="B4"/>
    </sheetView>
  </sheetViews>
  <sheetFormatPr defaultRowHeight="16"/>
  <cols>
    <col min="1" max="1" width="26.0" customWidth="1"/>
    <col min="2" max="2" width="16.0" customWidth="1"/>
    <col min="3" max="3" width="16.0" customWidth="1"/>
    <col min="4" max="4" width="16.0" customWidth="1"/>
    <col min="5" max="5" width="16.0" customWidth="1"/>
    <col min="6" max="6" width="16.0" customWidth="1"/>
    <col min="7" max="7" width="16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经营数据（分产品 </t>
          </r>
          <r>
            <rPr>
              <b/>
              <sz val="14"/>
              <color rgb="FF1F3864"/>
              <rFont val="Arial"/>
              <family val="2"/>
            </rPr>
            <t xml:space="preserve">/ </t>
          </r>
          <r>
            <rPr>
              <b/>
              <sz val="14"/>
              <color rgb="FF1F3864"/>
              <rFont val="KaiTi"/>
              <family val="2"/>
            </rPr>
            <t xml:space="preserve">渠道 </t>
          </r>
          <r>
            <rPr>
              <b/>
              <sz val="14"/>
              <color rgb="FF1F3864"/>
              <rFont val="Arial"/>
              <family val="2"/>
            </rPr>
            <t xml:space="preserve">/ </t>
          </r>
          <r>
            <rPr>
              <b/>
              <sz val="14"/>
              <color rgb="FF1F3864"/>
              <rFont val="KaiTi"/>
              <family val="2"/>
            </rPr>
            <t xml:space="preserve">地区，量价）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金额单位：百万元；蓝色为年报原文数（逐格核对，见 </t>
          </r>
          <r>
            <rPr>
              <i/>
              <sz val="9"/>
              <color rgb="FF595959"/>
              <rFont val="Arial"/>
              <family val="2"/>
            </rPr>
            <t xml:space="preserve">financials/extras.json</t>
          </r>
          <r>
            <rPr>
              <i/>
              <sz val="9"/>
              <color rgb="FF595959"/>
              <rFont val="KaiTi"/>
              <family val="2"/>
            </rPr>
            <t xml:space="preserve">），黑色为公式；页码为年报 </t>
          </r>
          <r>
            <rPr>
              <i/>
              <sz val="9"/>
              <color rgb="FF595959"/>
              <rFont val="Arial"/>
              <family val="2"/>
            </rPr>
            <t xml:space="preserve">PDF </t>
          </r>
          <r>
            <rPr>
              <i/>
              <sz val="9"/>
              <color rgb="FF595959"/>
              <rFont val="KaiTi"/>
              <family val="2"/>
            </rPr>
            <t xml:space="preserve">页</t>
          </r>
        </is>
      </c>
    </row>
    <row r="3" ht="20" customHeight="1"/>
    <row r="4" ht="20" customHeight="1">
      <c r="A4" s="31" t="inlineStr">
        <is>
          <r>
            <rPr>
              <b/>
              <sz val="12"/>
              <rFont val="KaiTi"/>
              <family val="2"/>
            </rPr>
            <t xml:space="preserve">主营业务分产品（</t>
          </r>
          <r>
            <rPr>
              <b/>
              <sz val="12"/>
              <rFont val="Arial"/>
              <family val="2"/>
            </rPr>
            <t xml:space="preserve">p.25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4" s="31"/>
      <c r="C4" s="31"/>
      <c r="D4" s="31"/>
      <c r="E4" s="31"/>
      <c r="F4" s="31"/>
      <c r="G4" s="31"/>
    </row>
    <row r="5" ht="36" customHeight="1">
      <c r="A5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5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营业收入（百万元）</t>
          </r>
        </is>
      </c>
      <c r="C5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营业成本（百万元）</t>
          </r>
        </is>
      </c>
      <c r="D5" s="3" t="inlineStr">
        <is>
          <r>
            <rPr>
              <b/>
              <sz val="12"/>
              <color rgb="FFFFFFFF"/>
              <rFont val="KaiTi"/>
              <family val="2"/>
            </rPr>
            <t xml:space="preserve">毛利率</t>
          </r>
        </is>
      </c>
      <c r="E5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营业收入同比</t>
          </r>
        </is>
      </c>
      <c r="F5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营业成本同比</t>
          </r>
        </is>
      </c>
      <c r="G5" s="3" t="inlineStr">
        <is>
          <r>
            <rPr>
              <b/>
              <sz val="12"/>
              <color rgb="FFFFFFFF"/>
              <rFont val="KaiTi"/>
              <family val="2"/>
            </rPr>
            <t xml:space="preserve">毛利率同比</t>
          </r>
        </is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动力电池系统</t>
          </r>
        </is>
      </c>
      <c r="B6" s="22">
        <v>316506.369</v>
      </c>
      <c r="C6" s="22">
        <v>241064.397</v>
      </c>
      <c r="D6" s="28">
        <v>0.2384</v>
      </c>
      <c r="E6" s="28">
        <v>0.25079999999999997</v>
      </c>
      <c r="F6" s="28">
        <v>0.2525</v>
      </c>
      <c r="G6" s="39">
        <v>-0.1</v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储能电池系统</t>
          </r>
        </is>
      </c>
      <c r="B7" s="22">
        <v>62439.82</v>
      </c>
      <c r="C7" s="22">
        <v>45763.689</v>
      </c>
      <c r="D7" s="28">
        <v>0.2671</v>
      </c>
      <c r="E7" s="28">
        <v>0.08990000000000001</v>
      </c>
      <c r="F7" s="28">
        <v>0.09179999999999999</v>
      </c>
      <c r="G7" s="39">
        <v>-0.13</v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电池材料及回收</t>
          </r>
        </is>
      </c>
      <c r="B8" s="22">
        <v>21860.936</v>
      </c>
      <c r="C8" s="22">
        <v>15899.813</v>
      </c>
      <c r="D8" s="28">
        <v>0.2727</v>
      </c>
      <c r="E8" s="28">
        <v>-0.23829999999999998</v>
      </c>
      <c r="F8" s="28">
        <v>-0.3809</v>
      </c>
      <c r="G8" s="39">
        <v>16.76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电池矿产资源</t>
          </r>
        </is>
      </c>
      <c r="B9" s="22">
        <v>5978.096</v>
      </c>
      <c r="C9" s="22">
        <v>5305.599</v>
      </c>
      <c r="D9" s="28">
        <v>0.1125</v>
      </c>
      <c r="E9" s="28">
        <v>0.0883</v>
      </c>
      <c r="F9" s="28">
        <v>0.0559</v>
      </c>
      <c r="G9" s="39">
        <v>2.72</v>
      </c>
    </row>
    <row r="10" ht="20" customHeight="1">
      <c r="A10" s="31" t="inlineStr">
        <is>
          <r>
            <rPr>
              <b/>
              <sz val="12"/>
              <rFont val="KaiTi"/>
              <family val="2"/>
            </rPr>
            <t xml:space="preserve">主营业务分地区（</t>
          </r>
          <r>
            <rPr>
              <b/>
              <sz val="12"/>
              <rFont val="Arial"/>
              <family val="2"/>
            </rPr>
            <t xml:space="preserve">p.25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0" s="31"/>
      <c r="C10" s="31"/>
      <c r="D10" s="31"/>
      <c r="E10" s="31"/>
      <c r="F10" s="31"/>
      <c r="G10" s="31"/>
    </row>
    <row r="11" ht="36" customHeight="1">
      <c r="A11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1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营业收入（百万元）</t>
          </r>
        </is>
      </c>
      <c r="C11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营业成本（百万元）</t>
          </r>
        </is>
      </c>
      <c r="D11" s="3" t="inlineStr">
        <is>
          <r>
            <rPr>
              <b/>
              <sz val="12"/>
              <color rgb="FFFFFFFF"/>
              <rFont val="KaiTi"/>
              <family val="2"/>
            </rPr>
            <t xml:space="preserve">毛利率</t>
          </r>
        </is>
      </c>
      <c r="E11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营业收入同比</t>
          </r>
        </is>
      </c>
      <c r="F11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营业成本同比</t>
          </r>
        </is>
      </c>
      <c r="G11" s="3" t="inlineStr">
        <is>
          <r>
            <rPr>
              <b/>
              <sz val="12"/>
              <color rgb="FFFFFFFF"/>
              <rFont val="KaiTi"/>
              <family val="2"/>
            </rPr>
            <t xml:space="preserve">毛利率同比</t>
          </r>
        </is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境内</t>
          </r>
        </is>
      </c>
      <c r="B12" s="22">
        <v>294060.576</v>
      </c>
      <c r="C12" s="22">
        <v>223497.885</v>
      </c>
      <c r="D12" s="28">
        <v>0.24</v>
      </c>
      <c r="E12" s="28">
        <v>0.1684</v>
      </c>
      <c r="F12" s="28">
        <v>0.1422</v>
      </c>
      <c r="G12" s="39">
        <v>1.75</v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境外</t>
          </r>
        </is>
      </c>
      <c r="B13" s="22">
        <v>129641.258</v>
      </c>
      <c r="C13" s="22">
        <v>88885.412</v>
      </c>
      <c r="D13" s="28">
        <v>0.3144</v>
      </c>
      <c r="E13" s="28">
        <v>0.175</v>
      </c>
      <c r="F13" s="28">
        <v>0.1419</v>
      </c>
      <c r="G13" s="39">
        <v>1.99</v>
      </c>
    </row>
    <row r="14" ht="20" customHeight="1">
      <c r="A14" s="31" t="inlineStr">
        <is>
          <r>
            <rPr>
              <b/>
              <sz val="12"/>
              <rFont val="KaiTi"/>
              <family val="2"/>
            </rPr>
            <t xml:space="preserve">主营业务分行业（</t>
          </r>
          <r>
            <rPr>
              <b/>
              <sz val="12"/>
              <rFont val="Arial"/>
              <family val="2"/>
            </rPr>
            <t xml:space="preserve">p.25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4" s="31"/>
      <c r="C14" s="31"/>
      <c r="D14" s="31"/>
      <c r="E14" s="31"/>
      <c r="F14" s="31"/>
      <c r="G14" s="31"/>
    </row>
    <row r="15" ht="36" customHeight="1">
      <c r="A15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5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营业收入（百万元）</t>
          </r>
        </is>
      </c>
      <c r="C15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营业成本（百万元）</t>
          </r>
        </is>
      </c>
      <c r="D15" s="3" t="inlineStr">
        <is>
          <r>
            <rPr>
              <b/>
              <sz val="12"/>
              <color rgb="FFFFFFFF"/>
              <rFont val="KaiTi"/>
              <family val="2"/>
            </rPr>
            <t xml:space="preserve">毛利率</t>
          </r>
        </is>
      </c>
      <c r="E15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营业收入同比</t>
          </r>
        </is>
      </c>
      <c r="F15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营业成本同比</t>
          </r>
        </is>
      </c>
      <c r="G15" s="3" t="inlineStr">
        <is>
          <r>
            <rPr>
              <b/>
              <sz val="12"/>
              <color rgb="FFFFFFFF"/>
              <rFont val="KaiTi"/>
              <family val="2"/>
            </rPr>
            <t xml:space="preserve">毛利率同比</t>
          </r>
        </is>
      </c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电气机械及器材制造业</t>
          </r>
        </is>
      </c>
      <c r="B16" s="22">
        <v>417723.738</v>
      </c>
      <c r="C16" s="22">
        <v>307077.698</v>
      </c>
      <c r="D16" s="28">
        <v>0.26489999999999997</v>
      </c>
      <c r="E16" s="28">
        <v>0.17170000000000002</v>
      </c>
      <c r="F16" s="28">
        <v>0.1437</v>
      </c>
      <c r="G16" s="39">
        <v>1.8</v>
      </c>
    </row>
    <row r="17" ht="20" customHeight="1">
      <c r="A17" s="31" t="inlineStr">
        <is>
          <r>
            <rPr>
              <b/>
              <sz val="12"/>
              <rFont val="KaiTi"/>
              <family val="2"/>
            </rPr>
            <t xml:space="preserve">营业收入构成（</t>
          </r>
          <r>
            <rPr>
              <b/>
              <sz val="12"/>
              <rFont val="Arial"/>
              <family val="2"/>
            </rPr>
            <t xml:space="preserve">p.24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7" s="31"/>
      <c r="C17" s="31"/>
      <c r="D17" s="31"/>
      <c r="E17" s="31"/>
      <c r="F17" s="31"/>
      <c r="G17" s="31"/>
    </row>
    <row r="18" ht="24" customHeight="1">
      <c r="A18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8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本期（百万元）</t>
          </r>
        </is>
      </c>
      <c r="C18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本期占比</t>
          </r>
        </is>
      </c>
      <c r="D18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上期（百万元）</t>
          </r>
        </is>
      </c>
      <c r="E18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上期占比</t>
          </r>
        </is>
      </c>
      <c r="F18" s="3" t="inlineStr">
        <is>
          <r>
            <rPr>
              <b/>
              <sz val="12"/>
              <color rgb="FFFFFFFF"/>
              <rFont val="KaiTi"/>
              <family val="2"/>
            </rPr>
            <t xml:space="preserve">同比</t>
          </r>
        </is>
      </c>
    </row>
    <row r="19" ht="20" customHeight="1">
      <c r="A19" s="12" t="inlineStr">
        <is>
          <r>
            <rPr>
              <sz val="12"/>
              <rFont val="KaiTi"/>
              <family val="2"/>
            </rPr>
            <t xml:space="preserve">营业收入合计</t>
          </r>
        </is>
      </c>
      <c r="B19" s="22">
        <v>423701.834</v>
      </c>
      <c r="C19" s="28">
        <v>1.0</v>
      </c>
      <c r="D19" s="22">
        <v>362012.554</v>
      </c>
      <c r="E19" s="28">
        <v>1.0</v>
      </c>
      <c r="F19" s="28">
        <v>0.1704</v>
      </c>
    </row>
    <row r="20" ht="20" customHeight="1">
      <c r="A20" s="12" t="inlineStr">
        <is>
          <r>
            <rPr>
              <sz val="12"/>
              <rFont val="KaiTi"/>
              <family val="2"/>
            </rPr>
            <t xml:space="preserve">电气机械及器材制造业</t>
          </r>
        </is>
      </c>
      <c r="B20" s="22">
        <v>417723.738</v>
      </c>
      <c r="C20" s="28">
        <v>0.9859</v>
      </c>
      <c r="D20" s="22">
        <v>356519.551</v>
      </c>
      <c r="E20" s="28">
        <v>0.9848</v>
      </c>
      <c r="F20" s="28">
        <v>0.17170000000000002</v>
      </c>
    </row>
    <row r="21" ht="20" customHeight="1">
      <c r="A21" s="12" t="inlineStr">
        <is>
          <r>
            <rPr>
              <sz val="12"/>
              <rFont val="KaiTi"/>
              <family val="2"/>
            </rPr>
            <t xml:space="preserve">动力电池系统</t>
          </r>
        </is>
      </c>
      <c r="B21" s="22">
        <v>316506.369</v>
      </c>
      <c r="C21" s="28">
        <v>0.747</v>
      </c>
      <c r="D21" s="22">
        <v>253041.337</v>
      </c>
      <c r="E21" s="28">
        <v>0.6990000000000001</v>
      </c>
      <c r="F21" s="28">
        <v>0.25079999999999997</v>
      </c>
    </row>
    <row r="22" ht="20" customHeight="1">
      <c r="A22" s="12" t="inlineStr">
        <is>
          <r>
            <rPr>
              <sz val="12"/>
              <rFont val="KaiTi"/>
              <family val="2"/>
            </rPr>
            <t xml:space="preserve">储能电池系统</t>
          </r>
        </is>
      </c>
      <c r="B22" s="22">
        <v>62439.82</v>
      </c>
      <c r="C22" s="28">
        <v>0.1474</v>
      </c>
      <c r="D22" s="22">
        <v>57290.46</v>
      </c>
      <c r="E22" s="28">
        <v>0.1583</v>
      </c>
      <c r="F22" s="28">
        <v>0.08990000000000001</v>
      </c>
    </row>
    <row r="23" ht="20" customHeight="1">
      <c r="A23" s="12" t="inlineStr">
        <is>
          <r>
            <rPr>
              <sz val="12"/>
              <rFont val="KaiTi"/>
              <family val="2"/>
            </rPr>
            <t xml:space="preserve">电池材料及回收</t>
          </r>
        </is>
      </c>
      <c r="B23" s="22">
        <v>21860.936</v>
      </c>
      <c r="C23" s="28">
        <v>0.0516</v>
      </c>
      <c r="D23" s="22">
        <v>28699.935</v>
      </c>
      <c r="E23" s="28">
        <v>0.0793</v>
      </c>
      <c r="F23" s="28">
        <v>-0.23829999999999998</v>
      </c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电池矿产资源</t>
          </r>
        </is>
      </c>
      <c r="B24" s="22">
        <v>5978.096</v>
      </c>
      <c r="C24" s="28">
        <v>0.0141</v>
      </c>
      <c r="D24" s="22">
        <v>5493.003</v>
      </c>
      <c r="E24" s="28">
        <v>0.0152</v>
      </c>
      <c r="F24" s="28">
        <v>0.0883</v>
      </c>
    </row>
    <row r="25" ht="20" customHeight="1">
      <c r="A25" s="12" t="inlineStr">
        <is>
          <r>
            <rPr>
              <sz val="12"/>
              <rFont val="KaiTi"/>
              <family val="2"/>
            </rPr>
            <t xml:space="preserve">其他业务</t>
          </r>
        </is>
      </c>
      <c r="B25" s="22">
        <v>16916.612</v>
      </c>
      <c r="C25" s="28">
        <v>0.039900000000000005</v>
      </c>
      <c r="D25" s="22">
        <v>17487.818</v>
      </c>
      <c r="E25" s="28">
        <v>0.0483</v>
      </c>
      <c r="F25" s="28">
        <v>-0.0327</v>
      </c>
    </row>
    <row r="26" ht="20" customHeight="1">
      <c r="A26" s="12" t="inlineStr">
        <is>
          <r>
            <rPr>
              <sz val="12"/>
              <rFont val="KaiTi"/>
              <family val="2"/>
            </rPr>
            <t xml:space="preserve">境内</t>
          </r>
        </is>
      </c>
      <c r="B26" s="22">
        <v>294060.576</v>
      </c>
      <c r="C26" s="28">
        <v>0.6940000000000001</v>
      </c>
      <c r="D26" s="22">
        <v>251677.045</v>
      </c>
      <c r="E26" s="28">
        <v>0.6951999999999999</v>
      </c>
      <c r="F26" s="28">
        <v>0.1684</v>
      </c>
    </row>
    <row r="27" ht="20" customHeight="1">
      <c r="A27" s="12" t="inlineStr">
        <is>
          <r>
            <rPr>
              <sz val="12"/>
              <rFont val="KaiTi"/>
              <family val="2"/>
            </rPr>
            <t xml:space="preserve">境外</t>
          </r>
        </is>
      </c>
      <c r="B27" s="22">
        <v>129641.258</v>
      </c>
      <c r="C27" s="28">
        <v>0.306</v>
      </c>
      <c r="D27" s="22">
        <v>110335.509</v>
      </c>
      <c r="E27" s="28">
        <v>0.3048</v>
      </c>
      <c r="F27" s="28">
        <v>0.175</v>
      </c>
    </row>
    <row r="28" ht="20" customHeight="1">
      <c r="A28" s="31" t="inlineStr">
        <is>
          <r>
            <rPr>
              <b/>
              <sz val="12"/>
              <rFont val="KaiTi"/>
              <family val="2"/>
            </rPr>
            <t xml:space="preserve">主营与其他业务收入成本（</t>
          </r>
          <r>
            <rPr>
              <b/>
              <sz val="12"/>
              <rFont val="Arial"/>
              <family val="2"/>
            </rPr>
            <t xml:space="preserve">p.195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28" s="31"/>
      <c r="C28" s="31"/>
      <c r="D28" s="31"/>
      <c r="E28" s="31"/>
      <c r="F28" s="31"/>
      <c r="G28" s="31"/>
    </row>
    <row r="29" ht="36" customHeight="1">
      <c r="A29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29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本期收入（百万元）</t>
          </r>
        </is>
      </c>
      <c r="C29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本期成本（百万元）</t>
          </r>
        </is>
      </c>
      <c r="D29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上期收入（百万元）</t>
          </r>
        </is>
      </c>
      <c r="E29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上期成本（百万元）</t>
          </r>
        </is>
      </c>
    </row>
    <row r="30" ht="20" customHeight="1">
      <c r="A30" s="12" t="inlineStr">
        <is>
          <r>
            <rPr>
              <sz val="12"/>
              <rFont val="KaiTi"/>
              <family val="2"/>
            </rPr>
            <t xml:space="preserve">主营业务</t>
          </r>
        </is>
      </c>
      <c r="B30" s="22">
        <v>406785.222</v>
      </c>
      <c r="C30" s="22">
        <v>308033.498</v>
      </c>
      <c r="D30" s="22">
        <v>344524.735</v>
      </c>
      <c r="E30" s="22">
        <v>265082.813</v>
      </c>
    </row>
    <row r="31" ht="20" customHeight="1">
      <c r="A31" s="12" t="inlineStr">
        <is>
          <r>
            <rPr>
              <sz val="12"/>
              <rFont val="KaiTi"/>
              <family val="2"/>
            </rPr>
            <t xml:space="preserve">其他业务</t>
          </r>
        </is>
      </c>
      <c r="B31" s="22">
        <v>16916.612</v>
      </c>
      <c r="C31" s="22">
        <v>4349.799</v>
      </c>
      <c r="D31" s="22">
        <v>17487.818</v>
      </c>
      <c r="E31" s="22">
        <v>8436.146</v>
      </c>
    </row>
    <row r="32" ht="20" customHeight="1">
      <c r="A32" s="31" t="inlineStr">
        <is>
          <r>
            <rPr>
              <b/>
              <sz val="12"/>
              <rFont val="KaiTi"/>
              <family val="2"/>
            </rPr>
            <t xml:space="preserve">分产品销量（</t>
          </r>
          <r>
            <rPr>
              <b/>
              <sz val="12"/>
              <rFont val="Arial"/>
              <family val="2"/>
            </rPr>
            <t xml:space="preserve">p.21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32" s="31"/>
      <c r="C32" s="31"/>
      <c r="D32" s="31"/>
      <c r="E32" s="31"/>
      <c r="F32" s="31"/>
      <c r="G32" s="31"/>
    </row>
    <row r="33" ht="24" customHeight="1">
      <c r="A33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33" s="3" t="inlineStr">
        <is>
          <r>
            <rPr>
              <b/>
              <sz val="12"/>
              <color rgb="FFFFFFFF"/>
              <rFont val="KaiTi"/>
              <family val="2"/>
            </rPr>
            <t xml:space="preserve">销量（</t>
          </r>
          <r>
            <rPr>
              <b/>
              <sz val="12"/>
              <color rgb="FFFFFFFF"/>
              <rFont val="Arial"/>
              <family val="2"/>
            </rPr>
            <t xml:space="preserve">GWh</t>
          </r>
          <r>
            <rPr>
              <b/>
              <sz val="12"/>
              <color rgb="FFFFFFFF"/>
              <rFont val="KaiTi"/>
              <family val="2"/>
            </rPr>
            <t xml:space="preserve">）</t>
          </r>
        </is>
      </c>
      <c r="C33" s="3" t="inlineStr">
        <is>
          <r>
            <rPr>
              <b/>
              <sz val="12"/>
              <color rgb="FFFFFFFF"/>
              <rFont val="KaiTi"/>
              <family val="2"/>
            </rPr>
            <t xml:space="preserve">销量同比</t>
          </r>
        </is>
      </c>
    </row>
    <row r="34" ht="20" customHeight="1">
      <c r="A34" s="12" t="inlineStr">
        <is>
          <r>
            <rPr>
              <sz val="12"/>
              <rFont val="KaiTi"/>
              <family val="2"/>
            </rPr>
            <t xml:space="preserve">动力电池系统</t>
          </r>
        </is>
      </c>
      <c r="B34" s="25">
        <v>541.0</v>
      </c>
      <c r="C34" s="28">
        <v>0.41850000000000004</v>
      </c>
    </row>
    <row r="35" ht="20" customHeight="1">
      <c r="A35" s="12" t="inlineStr">
        <is>
          <r>
            <rPr>
              <sz val="12"/>
              <rFont val="KaiTi"/>
              <family val="2"/>
            </rPr>
            <t xml:space="preserve">储能电池系统</t>
          </r>
        </is>
      </c>
      <c r="B35" s="25">
        <v>121.0</v>
      </c>
      <c r="C35" s="28">
        <v>0.2913</v>
      </c>
    </row>
    <row r="36" ht="20" customHeight="1">
      <c r="A36" s="31" t="inlineStr">
        <is>
          <r>
            <rPr>
              <b/>
              <sz val="12"/>
              <rFont val="KaiTi"/>
              <family val="2"/>
            </rPr>
            <t xml:space="preserve">电池系统产销存（</t>
          </r>
          <r>
            <rPr>
              <b/>
              <sz val="12"/>
              <rFont val="Arial"/>
              <family val="2"/>
            </rPr>
            <t xml:space="preserve">p.26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36" s="31"/>
      <c r="C36" s="31"/>
      <c r="D36" s="31"/>
      <c r="E36" s="31"/>
      <c r="F36" s="31"/>
      <c r="G36" s="31"/>
    </row>
    <row r="37" ht="24" customHeight="1">
      <c r="A37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37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本期（</t>
          </r>
          <r>
            <rPr>
              <b/>
              <sz val="12"/>
              <color rgb="FFFFFFFF"/>
              <rFont val="Arial"/>
              <family val="2"/>
            </rPr>
            <t xml:space="preserve">GWh</t>
          </r>
          <r>
            <rPr>
              <b/>
              <sz val="12"/>
              <color rgb="FFFFFFFF"/>
              <rFont val="KaiTi"/>
              <family val="2"/>
            </rPr>
            <t xml:space="preserve">）</t>
          </r>
        </is>
      </c>
      <c r="C37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上期（</t>
          </r>
          <r>
            <rPr>
              <b/>
              <sz val="12"/>
              <color rgb="FFFFFFFF"/>
              <rFont val="Arial"/>
              <family val="2"/>
            </rPr>
            <t xml:space="preserve">GWh</t>
          </r>
          <r>
            <rPr>
              <b/>
              <sz val="12"/>
              <color rgb="FFFFFFFF"/>
              <rFont val="KaiTi"/>
              <family val="2"/>
            </rPr>
            <t xml:space="preserve">）</t>
          </r>
        </is>
      </c>
      <c r="D37" s="3" t="inlineStr">
        <is>
          <r>
            <rPr>
              <b/>
              <sz val="12"/>
              <color rgb="FFFFFFFF"/>
              <rFont val="KaiTi"/>
              <family val="2"/>
            </rPr>
            <t xml:space="preserve">同比</t>
          </r>
        </is>
      </c>
    </row>
    <row r="38" ht="20" customHeight="1">
      <c r="A38" s="12" t="inlineStr">
        <is>
          <r>
            <rPr>
              <sz val="12"/>
              <rFont val="KaiTi"/>
              <family val="2"/>
            </rPr>
            <t xml:space="preserve">销售量</t>
          </r>
        </is>
      </c>
      <c r="B38" s="25">
        <v>661.0</v>
      </c>
      <c r="C38" s="25">
        <v>475.0</v>
      </c>
      <c r="D38" s="28">
        <v>0.39159999999999995</v>
      </c>
    </row>
    <row r="39" ht="20" customHeight="1">
      <c r="A39" s="12" t="inlineStr">
        <is>
          <r>
            <rPr>
              <sz val="12"/>
              <rFont val="KaiTi"/>
              <family val="2"/>
            </rPr>
            <t xml:space="preserve">生产量</t>
          </r>
        </is>
      </c>
      <c r="B39" s="25">
        <v>748.0</v>
      </c>
      <c r="C39" s="25">
        <v>516.0</v>
      </c>
      <c r="D39" s="28">
        <v>0.4496</v>
      </c>
    </row>
    <row r="40" ht="20" customHeight="1">
      <c r="A40" s="12" t="inlineStr">
        <is>
          <r>
            <rPr>
              <sz val="12"/>
              <rFont val="KaiTi"/>
              <family val="2"/>
            </rPr>
            <t xml:space="preserve">库存量</t>
          </r>
        </is>
      </c>
      <c r="B40" s="25">
        <v>186.0</v>
      </c>
      <c r="C40" s="25">
        <v>106.0</v>
      </c>
      <c r="D40" s="28">
        <v>0.7547</v>
      </c>
    </row>
    <row r="41" ht="20" customHeight="1">
      <c r="A41" s="31" t="inlineStr">
        <is>
          <r>
            <rPr>
              <b/>
              <sz val="12"/>
              <rFont val="KaiTi"/>
              <family val="2"/>
            </rPr>
            <t xml:space="preserve">电池系统产能（</t>
          </r>
          <r>
            <rPr>
              <b/>
              <sz val="12"/>
              <rFont val="Arial"/>
              <family val="2"/>
            </rPr>
            <t xml:space="preserve">p.26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41" s="31"/>
      <c r="C41" s="31"/>
      <c r="D41" s="31"/>
      <c r="E41" s="31"/>
      <c r="F41" s="31"/>
      <c r="G41" s="31"/>
    </row>
    <row r="42" ht="24" customHeight="1">
      <c r="A42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2" s="3" t="inlineStr">
        <is>
          <r>
            <rPr>
              <b/>
              <sz val="12"/>
              <color rgb="FFFFFFFF"/>
              <rFont val="KaiTi"/>
              <family val="2"/>
            </rPr>
            <t xml:space="preserve">产能（</t>
          </r>
          <r>
            <rPr>
              <b/>
              <sz val="12"/>
              <color rgb="FFFFFFFF"/>
              <rFont val="Arial"/>
              <family val="2"/>
            </rPr>
            <t xml:space="preserve">GWh</t>
          </r>
          <r>
            <rPr>
              <b/>
              <sz val="12"/>
              <color rgb="FFFFFFFF"/>
              <rFont val="KaiTi"/>
              <family val="2"/>
            </rPr>
            <t xml:space="preserve">）</t>
          </r>
        </is>
      </c>
      <c r="C42" s="3" t="inlineStr">
        <is>
          <r>
            <rPr>
              <b/>
              <sz val="12"/>
              <color rgb="FFFFFFFF"/>
              <rFont val="KaiTi"/>
              <family val="2"/>
            </rPr>
            <t xml:space="preserve">在建产能（</t>
          </r>
          <r>
            <rPr>
              <b/>
              <sz val="12"/>
              <color rgb="FFFFFFFF"/>
              <rFont val="Arial"/>
              <family val="2"/>
            </rPr>
            <t xml:space="preserve">GWh</t>
          </r>
          <r>
            <rPr>
              <b/>
              <sz val="12"/>
              <color rgb="FFFFFFFF"/>
              <rFont val="KaiTi"/>
              <family val="2"/>
            </rPr>
            <t xml:space="preserve">）</t>
          </r>
        </is>
      </c>
      <c r="D42" s="3" t="inlineStr">
        <is>
          <r>
            <rPr>
              <b/>
              <sz val="12"/>
              <color rgb="FFFFFFFF"/>
              <rFont val="KaiTi"/>
              <family val="2"/>
            </rPr>
            <t xml:space="preserve">产能利用率</t>
          </r>
        </is>
      </c>
      <c r="E42" s="3" t="inlineStr">
        <is>
          <r>
            <rPr>
              <b/>
              <sz val="12"/>
              <color rgb="FFFFFFFF"/>
              <rFont val="KaiTi"/>
              <family val="2"/>
            </rPr>
            <t xml:space="preserve">产量（</t>
          </r>
          <r>
            <rPr>
              <b/>
              <sz val="12"/>
              <color rgb="FFFFFFFF"/>
              <rFont val="Arial"/>
              <family val="2"/>
            </rPr>
            <t xml:space="preserve">GWh</t>
          </r>
          <r>
            <rPr>
              <b/>
              <sz val="12"/>
              <color rgb="FFFFFFFF"/>
              <rFont val="KaiTi"/>
              <family val="2"/>
            </rPr>
            <t xml:space="preserve">）</t>
          </r>
        </is>
      </c>
    </row>
    <row r="43" ht="20" customHeight="1">
      <c r="A43" s="12" t="inlineStr">
        <is>
          <r>
            <rPr>
              <sz val="12"/>
              <rFont val="KaiTi"/>
              <family val="2"/>
            </rPr>
            <t xml:space="preserve">电池系统</t>
          </r>
        </is>
      </c>
      <c r="B43" s="25">
        <v>772.0</v>
      </c>
      <c r="C43" s="25">
        <v>321.0</v>
      </c>
      <c r="D43" s="28">
        <v>0.9690000000000001</v>
      </c>
      <c r="E43" s="25">
        <v>748.0</v>
      </c>
    </row>
    <row r="44" ht="20" customHeight="1">
      <c r="A44" s="31" t="inlineStr">
        <is>
          <r>
            <rPr>
              <b/>
              <sz val="12"/>
              <rFont val="KaiTi"/>
              <family val="2"/>
            </rPr>
            <t xml:space="preserve">全球及国内市占率（</t>
          </r>
          <r>
            <rPr>
              <b/>
              <sz val="12"/>
              <rFont val="Arial"/>
              <family val="2"/>
            </rPr>
            <t xml:space="preserve">p.21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44" s="31"/>
      <c r="C44" s="31"/>
      <c r="D44" s="31"/>
      <c r="E44" s="31"/>
      <c r="F44" s="31"/>
      <c r="G44" s="31"/>
    </row>
    <row r="45" ht="24" customHeight="1">
      <c r="A45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5" s="3" t="inlineStr">
        <is>
          <r>
            <rPr>
              <b/>
              <sz val="12"/>
              <color rgb="FFFFFFFF"/>
              <rFont val="KaiTi"/>
              <family val="2"/>
            </rPr>
            <t xml:space="preserve">市占率</t>
          </r>
        </is>
      </c>
      <c r="C45" s="3" t="inlineStr">
        <is>
          <r>
            <rPr>
              <b/>
              <sz val="12"/>
              <color rgb="FFFFFFFF"/>
              <rFont val="KaiTi"/>
              <family val="2"/>
            </rPr>
            <t xml:space="preserve">同比变动</t>
          </r>
        </is>
      </c>
    </row>
    <row r="46" ht="20" customHeight="1">
      <c r="A46" s="12" t="inlineStr">
        <is>
          <r>
            <rPr>
              <sz val="12"/>
              <rFont val="KaiTi"/>
              <family val="2"/>
            </rPr>
            <t xml:space="preserve">全球动力电池使用量</t>
          </r>
        </is>
      </c>
      <c r="B46" s="28">
        <v>0.392</v>
      </c>
      <c r="C46" s="39">
        <v>1.2</v>
      </c>
    </row>
    <row r="47" ht="20" customHeight="1">
      <c r="A47" s="12" t="inlineStr">
        <is>
          <r>
            <rPr>
              <sz val="12"/>
              <rFont val="KaiTi"/>
              <family val="2"/>
            </rPr>
            <t xml:space="preserve">国内动力电池装机量</t>
          </r>
        </is>
      </c>
      <c r="B47" s="28">
        <v>0.43420000000000003</v>
      </c>
      <c r="C47" s="12"/>
    </row>
    <row r="48" ht="20" customHeight="1">
      <c r="A48" s="12" t="inlineStr">
        <is>
          <r>
            <rPr>
              <sz val="12"/>
              <rFont val="KaiTi"/>
              <family val="2"/>
            </rPr>
            <t xml:space="preserve">海外动力电池使用量</t>
          </r>
        </is>
      </c>
      <c r="B48" s="28">
        <v>0.3</v>
      </c>
      <c r="C48" s="12"/>
    </row>
    <row r="49" ht="20" customHeight="1">
      <c r="A49" s="31" t="inlineStr">
        <is>
          <r>
            <rPr>
              <b/>
              <sz val="12"/>
              <rFont val="KaiTi"/>
              <family val="2"/>
            </rPr>
            <t xml:space="preserve">行业需求（公司引用第三方数据）（</t>
          </r>
          <r>
            <rPr>
              <b/>
              <sz val="12"/>
              <rFont val="Arial"/>
              <family val="2"/>
            </rPr>
            <t xml:space="preserve">p.17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49" s="31"/>
      <c r="C49" s="31"/>
      <c r="D49" s="31"/>
      <c r="E49" s="31"/>
      <c r="F49" s="31"/>
      <c r="G49" s="31"/>
    </row>
    <row r="50" ht="24" customHeight="1">
      <c r="A50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50" s="3" t="inlineStr">
        <is>
          <r>
            <rPr>
              <b/>
              <sz val="12"/>
              <color rgb="FFFFFFFF"/>
              <rFont val="KaiTi"/>
              <family val="2"/>
            </rPr>
            <t xml:space="preserve">数量（</t>
          </r>
          <r>
            <rPr>
              <b/>
              <sz val="12"/>
              <color rgb="FFFFFFFF"/>
              <rFont val="Arial"/>
              <family val="2"/>
            </rPr>
            <t xml:space="preserve">GWh</t>
          </r>
          <r>
            <rPr>
              <b/>
              <sz val="12"/>
              <color rgb="FFFFFFFF"/>
              <rFont val="KaiTi"/>
              <family val="2"/>
            </rPr>
            <t xml:space="preserve">）</t>
          </r>
        </is>
      </c>
      <c r="C50" s="3" t="inlineStr">
        <is>
          <r>
            <rPr>
              <b/>
              <sz val="12"/>
              <color rgb="FFFFFFFF"/>
              <rFont val="KaiTi"/>
              <family val="2"/>
            </rPr>
            <t xml:space="preserve">同比</t>
          </r>
        </is>
      </c>
    </row>
    <row r="51" ht="20" customHeight="1">
      <c r="A51" s="12" t="inlineStr">
        <is>
          <r>
            <rPr>
              <sz val="12"/>
              <rFont val="KaiTi"/>
              <family val="2"/>
            </rPr>
            <t xml:space="preserve">全球动力电池使用量</t>
          </r>
        </is>
      </c>
      <c r="B51" s="25">
        <v>1187.0</v>
      </c>
      <c r="C51" s="28">
        <v>0.317</v>
      </c>
    </row>
    <row r="52" ht="20" customHeight="1">
      <c r="A52" s="12" t="inlineStr">
        <is>
          <r>
            <rPr>
              <sz val="12"/>
              <rFont val="KaiTi"/>
              <family val="2"/>
            </rPr>
            <t xml:space="preserve">全球储能电池出货量</t>
          </r>
        </is>
      </c>
      <c r="B52" s="25">
        <v>550.0</v>
      </c>
      <c r="C52" s="28">
        <v>0.79</v>
      </c>
    </row>
    <row r="53" ht="20" customHeight="1">
      <c r="A53" s="12" t="inlineStr">
        <is>
          <r>
            <rPr>
              <sz val="12"/>
              <rFont val="KaiTi"/>
              <family val="2"/>
            </rPr>
            <t xml:space="preserve">我国新型储能新增装机规模</t>
          </r>
        </is>
      </c>
      <c r="B53" s="25">
        <v>189.5</v>
      </c>
      <c r="C53" s="28">
        <v>0.73</v>
      </c>
    </row>
    <row r="54" ht="20" customHeight="1">
      <c r="A54" s="31" t="inlineStr">
        <is>
          <r>
            <rPr>
              <b/>
              <sz val="12"/>
              <rFont val="KaiTi"/>
              <family val="2"/>
            </rPr>
            <t xml:space="preserve">新能源车销量（公司引用第三方数据）（</t>
          </r>
          <r>
            <rPr>
              <b/>
              <sz val="12"/>
              <rFont val="Arial"/>
              <family val="2"/>
            </rPr>
            <t xml:space="preserve">p.17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54" s="31"/>
      <c r="C54" s="31"/>
      <c r="D54" s="31"/>
      <c r="E54" s="31"/>
      <c r="F54" s="31"/>
      <c r="G54" s="31"/>
    </row>
    <row r="55" ht="24" customHeight="1">
      <c r="A55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55" s="3" t="inlineStr">
        <is>
          <r>
            <rPr>
              <b/>
              <sz val="12"/>
              <color rgb="FFFFFFFF"/>
              <rFont val="KaiTi"/>
              <family val="2"/>
            </rPr>
            <t xml:space="preserve">销量（万辆）</t>
          </r>
        </is>
      </c>
      <c r="C55" s="3" t="inlineStr">
        <is>
          <r>
            <rPr>
              <b/>
              <sz val="12"/>
              <color rgb="FFFFFFFF"/>
              <rFont val="KaiTi"/>
              <family val="2"/>
            </rPr>
            <t xml:space="preserve">同比</t>
          </r>
        </is>
      </c>
    </row>
    <row r="56" ht="20" customHeight="1">
      <c r="A56" s="12" t="inlineStr">
        <is>
          <r>
            <rPr>
              <sz val="12"/>
              <rFont val="KaiTi"/>
              <family val="2"/>
            </rPr>
            <t xml:space="preserve">全球新能源车</t>
          </r>
        </is>
      </c>
      <c r="B56" s="25">
        <v>2147.0</v>
      </c>
      <c r="C56" s="28">
        <v>0.215</v>
      </c>
    </row>
    <row r="57" ht="20" customHeight="1">
      <c r="A57" s="12" t="inlineStr">
        <is>
          <r>
            <rPr>
              <sz val="12"/>
              <rFont val="KaiTi"/>
              <family val="2"/>
            </rPr>
            <t xml:space="preserve">欧洲新能源乘用车</t>
          </r>
        </is>
      </c>
      <c r="B57" s="25">
        <v>385.8</v>
      </c>
      <c r="C57" s="28">
        <v>0.309</v>
      </c>
    </row>
    <row r="58" ht="20" customHeight="1">
      <c r="A58" s="31" t="inlineStr">
        <is>
          <r>
            <rPr>
              <b/>
              <sz val="12"/>
              <rFont val="KaiTi"/>
              <family val="2"/>
            </rPr>
            <t xml:space="preserve">电池回收（</t>
          </r>
          <r>
            <rPr>
              <b/>
              <sz val="12"/>
              <rFont val="Arial"/>
              <family val="2"/>
            </rPr>
            <t xml:space="preserve">p.24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58" s="31"/>
      <c r="C58" s="31"/>
      <c r="D58" s="31"/>
      <c r="E58" s="31"/>
      <c r="F58" s="31"/>
      <c r="G58" s="31"/>
    </row>
    <row r="59" ht="24" customHeight="1">
      <c r="A59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59" s="3" t="inlineStr">
        <is>
          <r>
            <rPr>
              <b/>
              <sz val="12"/>
              <color rgb="FFFFFFFF"/>
              <rFont val="KaiTi"/>
              <family val="2"/>
            </rPr>
            <t xml:space="preserve">数量（万吨）</t>
          </r>
        </is>
      </c>
      <c r="C59" s="3" t="inlineStr">
        <is>
          <r>
            <rPr>
              <b/>
              <sz val="12"/>
              <color rgb="FFFFFFFF"/>
              <rFont val="KaiTi"/>
              <family val="2"/>
            </rPr>
            <t xml:space="preserve">同比</t>
          </r>
        </is>
      </c>
    </row>
    <row r="60" ht="20" customHeight="1">
      <c r="A60" s="12" t="inlineStr">
        <is>
          <r>
            <rPr>
              <sz val="12"/>
              <rFont val="KaiTi"/>
              <family val="2"/>
            </rPr>
            <t xml:space="preserve">废旧电池及材料综合回收量</t>
          </r>
        </is>
      </c>
      <c r="B60" s="25">
        <v>21.0</v>
      </c>
      <c r="C60" s="28">
        <v>0.632</v>
      </c>
    </row>
    <row r="61" ht="20" customHeight="1">
      <c r="A61" s="12" t="inlineStr">
        <is>
          <r>
            <rPr>
              <sz val="12"/>
              <rFont val="KaiTi"/>
              <family val="2"/>
            </rPr>
            <t xml:space="preserve">再生锂盐</t>
          </r>
        </is>
      </c>
      <c r="B61" s="25">
        <v>2.4</v>
      </c>
      <c r="C61" s="28">
        <v>0.40399999999999997</v>
      </c>
    </row>
    <row r="62" ht="20" customHeight="1">
      <c r="A62" s="31" t="inlineStr">
        <is>
          <r>
            <rPr>
              <b/>
              <sz val="12"/>
              <rFont val="KaiTi"/>
              <family val="2"/>
            </rPr>
            <t xml:space="preserve">电池行业营业成本构成（</t>
          </r>
          <r>
            <rPr>
              <b/>
              <sz val="12"/>
              <rFont val="Arial"/>
              <family val="2"/>
            </rPr>
            <t xml:space="preserve">p.27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62" s="31"/>
      <c r="C62" s="31"/>
      <c r="D62" s="31"/>
      <c r="E62" s="31"/>
      <c r="F62" s="31"/>
      <c r="G62" s="31"/>
    </row>
    <row r="63" ht="24" customHeight="1">
      <c r="A63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63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本期（百万元）</t>
          </r>
        </is>
      </c>
      <c r="C63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本期占比</t>
          </r>
        </is>
      </c>
      <c r="D63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上期（百万元）</t>
          </r>
        </is>
      </c>
      <c r="E63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上期占比</t>
          </r>
        </is>
      </c>
    </row>
    <row r="64" ht="20" customHeight="1">
      <c r="A64" s="12" t="inlineStr">
        <is>
          <r>
            <rPr>
              <sz val="12"/>
              <rFont val="KaiTi"/>
              <family val="2"/>
            </rPr>
            <t xml:space="preserve">直接材料</t>
          </r>
        </is>
      </c>
      <c r="B64" s="22">
        <v>221152.51</v>
      </c>
      <c r="C64" s="28">
        <v>0.7179000000000001</v>
      </c>
      <c r="D64" s="22">
        <v>202723.479</v>
      </c>
      <c r="E64" s="28">
        <v>0.7648</v>
      </c>
    </row>
    <row r="65" ht="20" customHeight="1">
      <c r="A65" s="31" t="inlineStr">
        <is>
          <r>
            <rPr>
              <b/>
              <sz val="12"/>
              <rFont val="KaiTi"/>
              <family val="2"/>
            </rPr>
            <t xml:space="preserve">前五名客户与供应商（</t>
          </r>
          <r>
            <rPr>
              <b/>
              <sz val="12"/>
              <rFont val="Arial"/>
              <family val="2"/>
            </rPr>
            <t xml:space="preserve">p.28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65" s="31"/>
      <c r="C65" s="31"/>
      <c r="D65" s="31"/>
      <c r="E65" s="31"/>
      <c r="F65" s="31"/>
      <c r="G65" s="31"/>
    </row>
    <row r="66" ht="24" customHeight="1">
      <c r="A66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66" s="3" t="inlineStr">
        <is>
          <r>
            <rPr>
              <b/>
              <sz val="12"/>
              <color rgb="FFFFFFFF"/>
              <rFont val="KaiTi"/>
              <family val="2"/>
            </rPr>
            <t xml:space="preserve">金额（百万元）</t>
          </r>
        </is>
      </c>
      <c r="C66" s="3" t="inlineStr">
        <is>
          <r>
            <rPr>
              <b/>
              <sz val="12"/>
              <color rgb="FFFFFFFF"/>
              <rFont val="KaiTi"/>
              <family val="2"/>
            </rPr>
            <t xml:space="preserve">占比</t>
          </r>
        </is>
      </c>
    </row>
    <row r="67" ht="20" customHeight="1">
      <c r="A67" s="12" t="inlineStr">
        <is>
          <r>
            <rPr>
              <sz val="12"/>
              <rFont val="KaiTi"/>
              <family val="2"/>
            </rPr>
            <t xml:space="preserve">前五名客户销售额</t>
          </r>
        </is>
      </c>
      <c r="B67" s="22">
        <v>165061.533</v>
      </c>
      <c r="C67" s="28">
        <v>0.3896</v>
      </c>
    </row>
    <row r="68" ht="20" customHeight="1">
      <c r="A68" s="12" t="inlineStr">
        <is>
          <r>
            <rPr>
              <sz val="12"/>
              <rFont val="KaiTi"/>
              <family val="2"/>
            </rPr>
            <t xml:space="preserve">第一名客户销售额</t>
          </r>
        </is>
      </c>
      <c r="B68" s="22">
        <v>58159.202</v>
      </c>
      <c r="C68" s="28">
        <v>0.1373</v>
      </c>
    </row>
    <row r="69" ht="20" customHeight="1">
      <c r="A69" s="12" t="inlineStr">
        <is>
          <r>
            <rPr>
              <sz val="12"/>
              <rFont val="KaiTi"/>
              <family val="2"/>
            </rPr>
            <t xml:space="preserve">前五名供应商采购额</t>
          </r>
        </is>
      </c>
      <c r="B69" s="22">
        <v>59938.203</v>
      </c>
      <c r="C69" s="28">
        <v>0.1038</v>
      </c>
    </row>
    <row r="70" ht="20" customHeight="1">
      <c r="A70" s="31" t="inlineStr">
        <is>
          <r>
            <rPr>
              <b/>
              <sz val="12"/>
              <rFont val="KaiTi"/>
              <family val="2"/>
            </rPr>
            <t xml:space="preserve">销售费用明细（</t>
          </r>
          <r>
            <rPr>
              <b/>
              <sz val="12"/>
              <rFont val="Arial"/>
              <family val="2"/>
            </rPr>
            <t xml:space="preserve">p.196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70" s="31"/>
      <c r="C70" s="31"/>
      <c r="D70" s="31"/>
      <c r="E70" s="31"/>
      <c r="F70" s="31"/>
      <c r="G70" s="31"/>
    </row>
    <row r="71" ht="24" customHeight="1">
      <c r="A71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71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本期（百万元）</t>
          </r>
        </is>
      </c>
      <c r="C71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上期（百万元）</t>
          </r>
        </is>
      </c>
    </row>
    <row r="72" ht="20" customHeight="1">
      <c r="A72" s="12" t="inlineStr">
        <is>
          <r>
            <rPr>
              <sz val="12"/>
              <rFont val="KaiTi"/>
              <family val="2"/>
            </rPr>
            <t xml:space="preserve">职工薪酬</t>
          </r>
        </is>
      </c>
      <c r="B72" s="22">
        <v>1991.174</v>
      </c>
      <c r="C72" s="22">
        <v>1533.505</v>
      </c>
    </row>
    <row r="73" ht="20" customHeight="1">
      <c r="A73" s="12" t="inlineStr">
        <is>
          <r>
            <rPr>
              <sz val="12"/>
              <rFont val="KaiTi"/>
              <family val="2"/>
            </rPr>
            <t xml:space="preserve">宣传及办公费</t>
          </r>
        </is>
      </c>
      <c r="B73" s="22">
        <v>665.638</v>
      </c>
      <c r="C73" s="22">
        <v>999.331</v>
      </c>
    </row>
    <row r="74" ht="20" customHeight="1">
      <c r="A74" s="12" t="inlineStr">
        <is>
          <r>
            <rPr>
              <sz val="12"/>
              <rFont val="KaiTi"/>
              <family val="2"/>
            </rPr>
            <t xml:space="preserve">业务费用</t>
          </r>
        </is>
      </c>
      <c r="B74" s="22">
        <v>400.112</v>
      </c>
      <c r="C74" s="22">
        <v>343.182</v>
      </c>
    </row>
    <row r="75" ht="20" customHeight="1">
      <c r="A75" s="12" t="inlineStr">
        <is>
          <r>
            <rPr>
              <sz val="12"/>
              <rFont val="KaiTi"/>
              <family val="2"/>
            </rPr>
            <t xml:space="preserve">其他</t>
          </r>
        </is>
      </c>
      <c r="B75" s="22">
        <v>678.195</v>
      </c>
      <c r="C75" s="22">
        <v>686.778</v>
      </c>
    </row>
    <row r="76" ht="20" customHeight="1">
      <c r="A76" s="12" t="inlineStr">
        <is>
          <r>
            <rPr>
              <sz val="12"/>
              <rFont val="KaiTi"/>
              <family val="2"/>
            </rPr>
            <t xml:space="preserve">销售费用合计</t>
          </r>
        </is>
      </c>
      <c r="B76" s="22">
        <v>3735.118</v>
      </c>
      <c r="C76" s="22">
        <v>3562.797</v>
      </c>
    </row>
    <row r="77" ht="20" customHeight="1">
      <c r="A77" s="31" t="inlineStr">
        <is>
          <r>
            <rPr>
              <b/>
              <sz val="12"/>
              <rFont val="KaiTi"/>
              <family val="2"/>
            </rPr>
            <t xml:space="preserve">管理费用明细（</t>
          </r>
          <r>
            <rPr>
              <b/>
              <sz val="12"/>
              <rFont val="Arial"/>
              <family val="2"/>
            </rPr>
            <t xml:space="preserve">p.196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77" s="31"/>
      <c r="C77" s="31"/>
      <c r="D77" s="31"/>
      <c r="E77" s="31"/>
      <c r="F77" s="31"/>
      <c r="G77" s="31"/>
    </row>
    <row r="78" ht="24" customHeight="1">
      <c r="A78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78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本期（百万元）</t>
          </r>
        </is>
      </c>
      <c r="C78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上期（百万元）</t>
          </r>
        </is>
      </c>
    </row>
    <row r="79" ht="20" customHeight="1">
      <c r="A79" s="12" t="inlineStr">
        <is>
          <r>
            <rPr>
              <sz val="12"/>
              <rFont val="KaiTi"/>
              <family val="2"/>
            </rPr>
            <t xml:space="preserve">职工薪酬</t>
          </r>
        </is>
      </c>
      <c r="B79" s="22">
        <v>6626.219</v>
      </c>
      <c r="C79" s="22">
        <v>4707.167</v>
      </c>
    </row>
    <row r="80" ht="20" customHeight="1">
      <c r="A80" s="12" t="inlineStr">
        <is>
          <r>
            <rPr>
              <sz val="12"/>
              <rFont val="KaiTi"/>
              <family val="2"/>
            </rPr>
            <t xml:space="preserve">折旧和摊销费</t>
          </r>
        </is>
      </c>
      <c r="B80" s="22">
        <v>1662.402</v>
      </c>
      <c r="C80" s="22">
        <v>2059.63</v>
      </c>
    </row>
    <row r="81" ht="20" customHeight="1">
      <c r="A81" s="12" t="inlineStr">
        <is>
          <r>
            <rPr>
              <sz val="12"/>
              <rFont val="KaiTi"/>
              <family val="2"/>
            </rPr>
            <t xml:space="preserve">后勤及办公费</t>
          </r>
        </is>
      </c>
      <c r="B81" s="22">
        <v>1609.693</v>
      </c>
      <c r="C81" s="22">
        <v>1248.011</v>
      </c>
    </row>
    <row r="82" ht="20" customHeight="1">
      <c r="A82" s="12" t="inlineStr">
        <is>
          <r>
            <rPr>
              <sz val="12"/>
              <rFont val="KaiTi"/>
              <family val="2"/>
            </rPr>
            <t xml:space="preserve">其他</t>
          </r>
        </is>
      </c>
      <c r="B82" s="22">
        <v>1768.427</v>
      </c>
      <c r="C82" s="22">
        <v>1675.031</v>
      </c>
    </row>
    <row r="83" ht="20" customHeight="1">
      <c r="A83" s="12" t="inlineStr">
        <is>
          <r>
            <rPr>
              <sz val="12"/>
              <rFont val="KaiTi"/>
              <family val="2"/>
            </rPr>
            <t xml:space="preserve">管理费用合计</t>
          </r>
        </is>
      </c>
      <c r="B83" s="22">
        <v>11666.741</v>
      </c>
      <c r="C83" s="22">
        <v>9689.839</v>
      </c>
    </row>
    <row r="84" ht="20" customHeight="1">
      <c r="A84" s="31" t="inlineStr">
        <is>
          <r>
            <rPr>
              <b/>
              <sz val="12"/>
              <rFont val="KaiTi"/>
              <family val="2"/>
            </rPr>
            <t xml:space="preserve">研发费用明细（</t>
          </r>
          <r>
            <rPr>
              <b/>
              <sz val="12"/>
              <rFont val="Arial"/>
              <family val="2"/>
            </rPr>
            <t xml:space="preserve">p.196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84" s="31"/>
      <c r="C84" s="31"/>
      <c r="D84" s="31"/>
      <c r="E84" s="31"/>
      <c r="F84" s="31"/>
      <c r="G84" s="31"/>
    </row>
    <row r="85" ht="24" customHeight="1">
      <c r="A85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85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本期（百万元）</t>
          </r>
        </is>
      </c>
      <c r="C85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上期（百万元）</t>
          </r>
        </is>
      </c>
    </row>
    <row r="86" ht="20" customHeight="1">
      <c r="A86" s="12" t="inlineStr">
        <is>
          <r>
            <rPr>
              <sz val="12"/>
              <rFont val="KaiTi"/>
              <family val="2"/>
            </rPr>
            <t xml:space="preserve">职工薪酬</t>
          </r>
        </is>
      </c>
      <c r="B86" s="22">
        <v>8422.709</v>
      </c>
      <c r="C86" s="22">
        <v>7561.191</v>
      </c>
    </row>
    <row r="87" ht="20" customHeight="1">
      <c r="A87" s="12" t="inlineStr">
        <is>
          <r>
            <rPr>
              <sz val="12"/>
              <rFont val="KaiTi"/>
              <family val="2"/>
            </rPr>
            <t xml:space="preserve">材料费</t>
          </r>
        </is>
      </c>
      <c r="B87" s="22">
        <v>7227.79</v>
      </c>
      <c r="C87" s="22">
        <v>5845.226</v>
      </c>
    </row>
    <row r="88" ht="20" customHeight="1">
      <c r="A88" s="12" t="inlineStr">
        <is>
          <r>
            <rPr>
              <sz val="12"/>
              <rFont val="KaiTi"/>
              <family val="2"/>
            </rPr>
            <t xml:space="preserve">其他</t>
          </r>
        </is>
      </c>
      <c r="B88" s="22">
        <v>6496.081</v>
      </c>
      <c r="C88" s="22">
        <v>5200.339</v>
      </c>
    </row>
    <row r="89" ht="20" customHeight="1">
      <c r="A89" s="12" t="inlineStr">
        <is>
          <r>
            <rPr>
              <sz val="12"/>
              <rFont val="KaiTi"/>
              <family val="2"/>
            </rPr>
            <t xml:space="preserve">研发费用合计</t>
          </r>
        </is>
      </c>
      <c r="B89" s="22">
        <v>22146.581</v>
      </c>
      <c r="C89" s="22">
        <v>18606.756</v>
      </c>
    </row>
    <row r="90" ht="20" customHeight="1">
      <c r="A90" s="31" t="inlineStr">
        <is>
          <r>
            <rPr>
              <b/>
              <sz val="12"/>
              <rFont val="KaiTi"/>
              <family val="2"/>
            </rPr>
            <t xml:space="preserve">财务费用明细（</t>
          </r>
          <r>
            <rPr>
              <b/>
              <sz val="12"/>
              <rFont val="Arial"/>
              <family val="2"/>
            </rPr>
            <t xml:space="preserve">p.196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90" s="31"/>
      <c r="C90" s="31"/>
      <c r="D90" s="31"/>
      <c r="E90" s="31"/>
      <c r="F90" s="31"/>
      <c r="G90" s="31"/>
    </row>
    <row r="91" ht="24" customHeight="1">
      <c r="A91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91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本期（百万元）</t>
          </r>
        </is>
      </c>
      <c r="C91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上期（百万元）</t>
          </r>
        </is>
      </c>
    </row>
    <row r="92" ht="20" customHeight="1">
      <c r="A92" s="12" t="inlineStr">
        <is>
          <r>
            <rPr>
              <sz val="12"/>
              <rFont val="KaiTi"/>
              <family val="2"/>
            </rPr>
            <t xml:space="preserve">利息支出</t>
          </r>
        </is>
      </c>
      <c r="B92" s="22">
        <v>2887.843</v>
      </c>
      <c r="C92" s="22">
        <v>4149.186</v>
      </c>
    </row>
    <row r="93" ht="20" customHeight="1">
      <c r="A93" s="12" t="inlineStr">
        <is>
          <r>
            <rPr>
              <sz val="12"/>
              <rFont val="KaiTi"/>
              <family val="2"/>
            </rPr>
            <t xml:space="preserve">利息收入</t>
          </r>
        </is>
      </c>
      <c r="B93" s="22">
        <v>10594.657</v>
      </c>
      <c r="C93" s="22">
        <v>9502.997</v>
      </c>
    </row>
    <row r="94" ht="20" customHeight="1">
      <c r="A94" s="12" t="inlineStr">
        <is>
          <r>
            <rPr>
              <sz val="12"/>
              <rFont val="KaiTi"/>
              <family val="2"/>
            </rPr>
            <t xml:space="preserve">汇兑损益</t>
          </r>
        </is>
      </c>
      <c r="B94" s="22">
        <v>-282.298</v>
      </c>
      <c r="C94" s="22">
        <v>1287.05</v>
      </c>
    </row>
    <row r="95" ht="20" customHeight="1">
      <c r="A95" s="12" t="inlineStr">
        <is>
          <r>
            <rPr>
              <sz val="12"/>
              <rFont val="KaiTi"/>
              <family val="2"/>
            </rPr>
            <t xml:space="preserve">财务费用合计</t>
          </r>
        </is>
      </c>
      <c r="B95" s="22">
        <v>-7939.863</v>
      </c>
      <c r="C95" s="22">
        <v>-4131.918</v>
      </c>
    </row>
    <row r="96" ht="20" customHeight="1">
      <c r="A96" s="31" t="inlineStr">
        <is>
          <r>
            <rPr>
              <b/>
              <sz val="12"/>
              <rFont val="KaiTi"/>
              <family val="2"/>
            </rPr>
            <t xml:space="preserve">研发人员（</t>
          </r>
          <r>
            <rPr>
              <b/>
              <sz val="12"/>
              <rFont val="Arial"/>
              <family val="2"/>
            </rPr>
            <t xml:space="preserve">p.29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96" s="31"/>
      <c r="C96" s="31"/>
      <c r="D96" s="31"/>
      <c r="E96" s="31"/>
      <c r="F96" s="31"/>
      <c r="G96" s="31"/>
    </row>
    <row r="97" ht="24" customHeight="1">
      <c r="A97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97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本期（人）</t>
          </r>
        </is>
      </c>
      <c r="C97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上期（人）</t>
          </r>
        </is>
      </c>
    </row>
    <row r="98" ht="20" customHeight="1">
      <c r="A98" s="12" t="inlineStr">
        <is>
          <r>
            <rPr>
              <sz val="12"/>
              <rFont val="KaiTi"/>
              <family val="2"/>
            </rPr>
            <t xml:space="preserve">研发人员数量</t>
          </r>
        </is>
      </c>
      <c r="B98" s="48">
        <v>22901.0</v>
      </c>
      <c r="C98" s="48">
        <v>20346.0</v>
      </c>
    </row>
    <row r="99" ht="20" customHeight="1">
      <c r="A99" s="12" t="inlineStr">
        <is>
          <r>
            <rPr>
              <sz val="12"/>
              <rFont val="KaiTi"/>
              <family val="2"/>
            </rPr>
            <t xml:space="preserve">博士</t>
          </r>
        </is>
      </c>
      <c r="B99" s="48">
        <v>745.0</v>
      </c>
      <c r="C99" s="48">
        <v>573.0</v>
      </c>
    </row>
    <row r="100" ht="20" customHeight="1">
      <c r="A100" s="31" t="inlineStr">
        <is>
          <r>
            <rPr>
              <b/>
              <sz val="12"/>
              <rFont val="KaiTi"/>
              <family val="2"/>
            </rPr>
            <t xml:space="preserve">研发投入占营业收入比例（</t>
          </r>
          <r>
            <rPr>
              <b/>
              <sz val="12"/>
              <rFont val="Arial"/>
              <family val="2"/>
            </rPr>
            <t xml:space="preserve">p.30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00" s="31"/>
      <c r="C100" s="31"/>
      <c r="D100" s="31"/>
      <c r="E100" s="31"/>
      <c r="F100" s="31"/>
      <c r="G100" s="31"/>
    </row>
    <row r="101" ht="24" customHeight="1">
      <c r="A101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01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</t>
          </r>
        </is>
      </c>
      <c r="C101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</t>
          </r>
        </is>
      </c>
      <c r="D101" s="3" t="inlineStr">
        <is>
          <r>
            <rPr>
              <b/>
              <sz val="12"/>
              <color rgb="FFFFFFFF"/>
              <rFont val="Arial"/>
              <family val="2"/>
            </rPr>
            <t xml:space="preserve">2023</t>
          </r>
          <r>
            <rPr>
              <b/>
              <sz val="12"/>
              <color rgb="FFFFFFFF"/>
              <rFont val="KaiTi"/>
              <family val="2"/>
            </rPr>
            <t xml:space="preserve">年</t>
          </r>
        </is>
      </c>
    </row>
    <row r="102" ht="20" customHeight="1">
      <c r="A102" s="12" t="inlineStr">
        <is>
          <r>
            <rPr>
              <sz val="12"/>
              <rFont val="KaiTi"/>
              <family val="2"/>
            </rPr>
            <t xml:space="preserve">研发投入占营业收入比例</t>
          </r>
        </is>
      </c>
      <c r="B102" s="28">
        <v>0.052300000000000006</v>
      </c>
      <c r="C102" s="28">
        <v>0.051399999999999994</v>
      </c>
      <c r="D102" s="28">
        <v>0.0458</v>
      </c>
    </row>
    <row r="103" ht="20" customHeight="1">
      <c r="A103" s="31" t="inlineStr">
        <is>
          <r>
            <rPr>
              <b/>
              <sz val="12"/>
              <rFont val="KaiTi"/>
              <family val="2"/>
            </rPr>
            <t xml:space="preserve">员工专业构成（</t>
          </r>
          <r>
            <rPr>
              <b/>
              <sz val="12"/>
              <rFont val="Arial"/>
              <family val="2"/>
            </rPr>
            <t xml:space="preserve">p.56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03" s="31"/>
      <c r="C103" s="31"/>
      <c r="D103" s="31"/>
      <c r="E103" s="31"/>
      <c r="F103" s="31"/>
      <c r="G103" s="31"/>
    </row>
    <row r="104" ht="24" customHeight="1">
      <c r="A10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04" s="3" t="inlineStr">
        <is>
          <r>
            <rPr>
              <b/>
              <sz val="12"/>
              <color rgb="FFFFFFFF"/>
              <rFont val="KaiTi"/>
              <family val="2"/>
            </rPr>
            <t xml:space="preserve">人数（人）</t>
          </r>
        </is>
      </c>
    </row>
    <row r="105" ht="20" customHeight="1">
      <c r="A105" s="12" t="inlineStr">
        <is>
          <r>
            <rPr>
              <sz val="12"/>
              <rFont val="KaiTi"/>
              <family val="2"/>
            </rPr>
            <t xml:space="preserve">生产人员</t>
          </r>
        </is>
      </c>
      <c r="B105" s="48">
        <v>145568.0</v>
      </c>
    </row>
    <row r="106" ht="20" customHeight="1">
      <c r="A106" s="12" t="inlineStr">
        <is>
          <r>
            <rPr>
              <sz val="12"/>
              <rFont val="KaiTi"/>
              <family val="2"/>
            </rPr>
            <t xml:space="preserve">销售人员</t>
          </r>
        </is>
      </c>
      <c r="B106" s="48">
        <v>3615.0</v>
      </c>
    </row>
    <row r="107" ht="20" customHeight="1">
      <c r="A107" s="12" t="inlineStr">
        <is>
          <r>
            <rPr>
              <sz val="12"/>
              <rFont val="KaiTi"/>
              <family val="2"/>
            </rPr>
            <t xml:space="preserve">技术人员</t>
          </r>
        </is>
      </c>
      <c r="B107" s="48">
        <v>22901.0</v>
      </c>
    </row>
    <row r="108" ht="20" customHeight="1">
      <c r="A108" s="12" t="inlineStr">
        <is>
          <r>
            <rPr>
              <sz val="12"/>
              <rFont val="KaiTi"/>
              <family val="2"/>
            </rPr>
            <t xml:space="preserve">财务人员</t>
          </r>
        </is>
      </c>
      <c r="B108" s="48">
        <v>780.0</v>
      </c>
    </row>
    <row r="109" ht="20" customHeight="1">
      <c r="A109" s="12" t="inlineStr">
        <is>
          <r>
            <rPr>
              <sz val="12"/>
              <rFont val="KaiTi"/>
              <family val="2"/>
            </rPr>
            <t xml:space="preserve">行政人员</t>
          </r>
        </is>
      </c>
      <c r="B109" s="48">
        <v>12975.0</v>
      </c>
    </row>
    <row r="110" ht="20" customHeight="1">
      <c r="A110" s="12" t="inlineStr">
        <is>
          <r>
            <rPr>
              <sz val="12"/>
              <rFont val="KaiTi"/>
              <family val="2"/>
            </rPr>
            <t xml:space="preserve">员工合计</t>
          </r>
        </is>
      </c>
      <c r="B110" s="48">
        <v>185839.0</v>
      </c>
    </row>
    <row r="111" ht="20" customHeight="1">
      <c r="A111" s="31" t="inlineStr">
        <is>
          <r>
            <rPr>
              <b/>
              <sz val="12"/>
              <rFont val="KaiTi"/>
              <family val="2"/>
            </rPr>
            <t xml:space="preserve">员工薪酬成本（</t>
          </r>
          <r>
            <rPr>
              <b/>
              <sz val="12"/>
              <rFont val="Arial"/>
              <family val="2"/>
            </rPr>
            <t xml:space="preserve">p.57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11" s="31"/>
      <c r="C111" s="31"/>
      <c r="D111" s="31"/>
      <c r="E111" s="31"/>
      <c r="F111" s="31"/>
      <c r="G111" s="31"/>
    </row>
    <row r="112" ht="24" customHeight="1">
      <c r="A112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12" s="3" t="inlineStr">
        <is>
          <r>
            <rPr>
              <b/>
              <sz val="12"/>
              <color rgb="FFFFFFFF"/>
              <rFont val="KaiTi"/>
              <family val="2"/>
            </rPr>
            <t xml:space="preserve">金额（百万元）</t>
          </r>
        </is>
      </c>
      <c r="C112" s="3" t="inlineStr">
        <is>
          <r>
            <rPr>
              <b/>
              <sz val="12"/>
              <color rgb="FFFFFFFF"/>
              <rFont val="KaiTi"/>
              <family val="2"/>
            </rPr>
            <t xml:space="preserve">占营业额比例</t>
          </r>
        </is>
      </c>
    </row>
    <row r="113" ht="20" customHeight="1">
      <c r="A113" s="12" t="inlineStr">
        <is>
          <r>
            <rPr>
              <sz val="12"/>
              <rFont val="KaiTi"/>
              <family val="2"/>
            </rPr>
            <t xml:space="preserve">员工薪酬成本</t>
          </r>
        </is>
      </c>
      <c r="B113" s="22">
        <v>37555.335</v>
      </c>
      <c r="C113" s="28">
        <v>0.0886</v>
      </c>
    </row>
    <row r="114" ht="20" customHeight="1">
      <c r="A114" s="31" t="inlineStr">
        <is>
          <r>
            <rPr>
              <b/>
              <sz val="12"/>
              <rFont val="KaiTi"/>
              <family val="2"/>
            </rPr>
            <t xml:space="preserve">其他收益与投资收益（</t>
          </r>
          <r>
            <rPr>
              <b/>
              <sz val="12"/>
              <rFont val="Arial"/>
              <family val="2"/>
            </rPr>
            <t xml:space="preserve">p.197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14" s="31"/>
      <c r="C114" s="31"/>
      <c r="D114" s="31"/>
      <c r="E114" s="31"/>
      <c r="F114" s="31"/>
      <c r="G114" s="31"/>
    </row>
    <row r="115" ht="24" customHeight="1">
      <c r="A115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15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本期（百万元）</t>
          </r>
        </is>
      </c>
      <c r="C115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上期（百万元）</t>
          </r>
        </is>
      </c>
    </row>
    <row r="116" ht="20" customHeight="1">
      <c r="A116" s="12" t="inlineStr">
        <is>
          <r>
            <rPr>
              <sz val="12"/>
              <rFont val="KaiTi"/>
              <family val="2"/>
            </rPr>
            <t xml:space="preserve">其他收益</t>
          </r>
        </is>
      </c>
      <c r="B116" s="22">
        <v>10600.477</v>
      </c>
      <c r="C116" s="22">
        <v>9967.63</v>
      </c>
    </row>
    <row r="117" ht="20" customHeight="1">
      <c r="A117" s="12" t="inlineStr">
        <is>
          <r>
            <rPr>
              <sz val="12"/>
              <rFont val="KaiTi"/>
              <family val="2"/>
            </rPr>
            <t xml:space="preserve">权益法核算的长期股权投资收益</t>
          </r>
        </is>
      </c>
      <c r="B117" s="22">
        <v>7353.106</v>
      </c>
      <c r="C117" s="22">
        <v>3743.04</v>
      </c>
    </row>
    <row r="118" ht="20" customHeight="1">
      <c r="A118" s="12" t="inlineStr">
        <is>
          <r>
            <rPr>
              <sz val="12"/>
              <rFont val="KaiTi"/>
              <family val="2"/>
            </rPr>
            <t xml:space="preserve">处置长期股权投资产生的投资收益</t>
          </r>
        </is>
      </c>
      <c r="B118" s="22">
        <v>613.671</v>
      </c>
      <c r="C118" s="22">
        <v>300.363</v>
      </c>
    </row>
    <row r="119" ht="20" customHeight="1">
      <c r="A119" s="12" t="inlineStr">
        <is>
          <r>
            <rPr>
              <sz val="12"/>
              <rFont val="KaiTi"/>
              <family val="2"/>
            </rPr>
            <t xml:space="preserve">投资收益合计</t>
          </r>
        </is>
      </c>
      <c r="B119" s="22">
        <v>7970.552</v>
      </c>
      <c r="C119" s="22">
        <v>3987.823</v>
      </c>
    </row>
    <row r="120" ht="20" customHeight="1">
      <c r="A120" s="31" t="inlineStr">
        <is>
          <r>
            <rPr>
              <b/>
              <sz val="12"/>
              <rFont val="KaiTi"/>
              <family val="2"/>
            </rPr>
            <t xml:space="preserve">资产减值损失（</t>
          </r>
          <r>
            <rPr>
              <b/>
              <sz val="12"/>
              <rFont val="Arial"/>
              <family val="2"/>
            </rPr>
            <t xml:space="preserve">p.198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20" s="31"/>
      <c r="C120" s="31"/>
      <c r="D120" s="31"/>
      <c r="E120" s="31"/>
      <c r="F120" s="31"/>
      <c r="G120" s="31"/>
    </row>
    <row r="121" ht="24" customHeight="1">
      <c r="A121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21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本期（百万元）</t>
          </r>
        </is>
      </c>
      <c r="C121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上期（百万元）</t>
          </r>
        </is>
      </c>
    </row>
    <row r="122" ht="20" customHeight="1">
      <c r="A122" s="12" t="inlineStr">
        <is>
          <r>
            <rPr>
              <sz val="12"/>
              <rFont val="KaiTi"/>
              <family val="2"/>
            </rPr>
            <t xml:space="preserve">存货跌价损失</t>
          </r>
        </is>
      </c>
      <c r="B122" s="22">
        <v>-5151.694</v>
      </c>
      <c r="C122" s="22">
        <v>-2207.18</v>
      </c>
    </row>
    <row r="123" ht="20" customHeight="1">
      <c r="A123" s="12" t="inlineStr">
        <is>
          <r>
            <rPr>
              <sz val="12"/>
              <rFont val="KaiTi"/>
              <family val="2"/>
            </rPr>
            <t xml:space="preserve">固定资产减值损失</t>
          </r>
        </is>
      </c>
      <c r="B123" s="22">
        <v>-2659.992</v>
      </c>
      <c r="C123" s="22">
        <v>-3214.322</v>
      </c>
    </row>
    <row r="124" ht="20" customHeight="1">
      <c r="A124" s="12" t="inlineStr">
        <is>
          <r>
            <rPr>
              <sz val="12"/>
              <rFont val="KaiTi"/>
              <family val="2"/>
            </rPr>
            <t xml:space="preserve">无形资产减值损失</t>
          </r>
        </is>
      </c>
      <c r="B124" s="22">
        <v>-3.273</v>
      </c>
      <c r="C124" s="22">
        <v>-2017.078</v>
      </c>
    </row>
    <row r="125" ht="20" customHeight="1">
      <c r="A125" s="12" t="inlineStr">
        <is>
          <r>
            <rPr>
              <sz val="12"/>
              <rFont val="KaiTi"/>
              <family val="2"/>
            </rPr>
            <t xml:space="preserve">其他</t>
          </r>
        </is>
      </c>
      <c r="B125" s="22">
        <v>-845.206</v>
      </c>
      <c r="C125" s="22">
        <v>-984.745</v>
      </c>
    </row>
    <row r="126" ht="20" customHeight="1">
      <c r="A126" s="12" t="inlineStr">
        <is>
          <r>
            <rPr>
              <sz val="12"/>
              <rFont val="KaiTi"/>
              <family val="2"/>
            </rPr>
            <t xml:space="preserve">资产减值损失合计</t>
          </r>
        </is>
      </c>
      <c r="B126" s="22">
        <v>-8660.164</v>
      </c>
      <c r="C126" s="22">
        <v>-8423.325</v>
      </c>
    </row>
    <row r="127" ht="20" customHeight="1">
      <c r="A127" s="31" t="inlineStr">
        <is>
          <r>
            <rPr>
              <b/>
              <sz val="12"/>
              <rFont val="KaiTi"/>
              <family val="2"/>
            </rPr>
            <t xml:space="preserve">存货构成（账面价值）（</t>
          </r>
          <r>
            <rPr>
              <b/>
              <sz val="12"/>
              <rFont val="Arial"/>
              <family val="2"/>
            </rPr>
            <t xml:space="preserve">p.172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27" s="31"/>
      <c r="C127" s="31"/>
      <c r="D127" s="31"/>
      <c r="E127" s="31"/>
      <c r="F127" s="31"/>
      <c r="G127" s="31"/>
    </row>
    <row r="128" ht="24" customHeight="1">
      <c r="A128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28" s="3" t="inlineStr">
        <is>
          <r>
            <rPr>
              <b/>
              <sz val="12"/>
              <color rgb="FFFFFFFF"/>
              <rFont val="KaiTi"/>
              <family val="2"/>
            </rPr>
            <t xml:space="preserve">期末（百万元）</t>
          </r>
        </is>
      </c>
      <c r="C128" s="3" t="inlineStr">
        <is>
          <r>
            <rPr>
              <b/>
              <sz val="12"/>
              <color rgb="FFFFFFFF"/>
              <rFont val="KaiTi"/>
              <family val="2"/>
            </rPr>
            <t xml:space="preserve">期初（百万元）</t>
          </r>
        </is>
      </c>
    </row>
    <row r="129" ht="20" customHeight="1">
      <c r="A129" s="12" t="inlineStr">
        <is>
          <r>
            <rPr>
              <sz val="12"/>
              <rFont val="KaiTi"/>
              <family val="2"/>
            </rPr>
            <t xml:space="preserve">原材料</t>
          </r>
        </is>
      </c>
      <c r="B129" s="22">
        <v>11272.396</v>
      </c>
      <c r="C129" s="22">
        <v>9800.111</v>
      </c>
    </row>
    <row r="130" ht="20" customHeight="1">
      <c r="A130" s="12" t="inlineStr">
        <is>
          <r>
            <rPr>
              <sz val="12"/>
              <rFont val="KaiTi"/>
              <family val="2"/>
            </rPr>
            <t xml:space="preserve">库存商品</t>
          </r>
        </is>
      </c>
      <c r="B130" s="22">
        <v>22614.633</v>
      </c>
      <c r="C130" s="22">
        <v>10847.126</v>
      </c>
    </row>
    <row r="131" ht="20" customHeight="1">
      <c r="A131" s="12" t="inlineStr">
        <is>
          <r>
            <rPr>
              <sz val="12"/>
              <rFont val="KaiTi"/>
              <family val="2"/>
            </rPr>
            <t xml:space="preserve">发出商品</t>
          </r>
        </is>
      </c>
      <c r="B131" s="22">
        <v>38674.787</v>
      </c>
      <c r="C131" s="22">
        <v>23813.861</v>
      </c>
    </row>
    <row r="132" ht="20" customHeight="1">
      <c r="A132" s="12" t="inlineStr">
        <is>
          <r>
            <rPr>
              <sz val="12"/>
              <rFont val="KaiTi"/>
              <family val="2"/>
            </rPr>
            <t xml:space="preserve">自制半成品</t>
          </r>
        </is>
      </c>
      <c r="B132" s="22">
        <v>12380.556</v>
      </c>
      <c r="C132" s="22">
        <v>7523.72</v>
      </c>
    </row>
    <row r="133" ht="20" customHeight="1">
      <c r="A133" s="12" t="inlineStr">
        <is>
          <r>
            <rPr>
              <sz val="12"/>
              <rFont val="KaiTi"/>
              <family val="2"/>
            </rPr>
            <t xml:space="preserve">合同履约成本</t>
          </r>
        </is>
      </c>
      <c r="B133" s="22">
        <v>5331.621</v>
      </c>
      <c r="C133" s="22">
        <v>3684.683</v>
      </c>
    </row>
    <row r="134" ht="20" customHeight="1">
      <c r="A134" s="12" t="inlineStr">
        <is>
          <r>
            <rPr>
              <sz val="12"/>
              <rFont val="KaiTi"/>
              <family val="2"/>
            </rPr>
            <t xml:space="preserve">委托加工物资</t>
          </r>
        </is>
      </c>
      <c r="B134" s="22">
        <v>3345.491</v>
      </c>
      <c r="C134" s="22">
        <v>3167.038</v>
      </c>
    </row>
    <row r="135" ht="20" customHeight="1">
      <c r="A135" s="12" t="inlineStr">
        <is>
          <r>
            <rPr>
              <sz val="12"/>
              <rFont val="KaiTi"/>
              <family val="2"/>
            </rPr>
            <t xml:space="preserve">在产品</t>
          </r>
        </is>
      </c>
      <c r="B135" s="22">
        <v>301.153</v>
      </c>
      <c r="C135" s="22">
        <v>596.705</v>
      </c>
    </row>
    <row r="136" ht="20" customHeight="1">
      <c r="A136" s="12" t="inlineStr">
        <is>
          <r>
            <rPr>
              <sz val="12"/>
              <rFont val="KaiTi"/>
              <family val="2"/>
            </rPr>
            <t xml:space="preserve">周转材料</t>
          </r>
        </is>
      </c>
      <c r="B136" s="22">
        <v>605.603</v>
      </c>
      <c r="C136" s="22">
        <v>402.289</v>
      </c>
    </row>
    <row r="137" ht="20" customHeight="1">
      <c r="A137" s="12" t="inlineStr">
        <is>
          <r>
            <rPr>
              <sz val="12"/>
              <rFont val="KaiTi"/>
              <family val="2"/>
            </rPr>
            <t xml:space="preserve">存货合计</t>
          </r>
        </is>
      </c>
      <c r="B137" s="22">
        <v>94526.239</v>
      </c>
      <c r="C137" s="22">
        <v>59835.533</v>
      </c>
    </row>
    <row r="138" ht="20" customHeight="1">
      <c r="A138" s="31" t="inlineStr">
        <is>
          <r>
            <rPr>
              <b/>
              <sz val="12"/>
              <rFont val="KaiTi"/>
              <family val="2"/>
            </rPr>
            <t xml:space="preserve">存货跌价准备（</t>
          </r>
          <r>
            <rPr>
              <b/>
              <sz val="12"/>
              <rFont val="Arial"/>
              <family val="2"/>
            </rPr>
            <t xml:space="preserve">p.172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38" s="31"/>
      <c r="C138" s="31"/>
      <c r="D138" s="31"/>
      <c r="E138" s="31"/>
      <c r="F138" s="31"/>
      <c r="G138" s="31"/>
    </row>
    <row r="139" ht="24" customHeight="1">
      <c r="A139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39" s="3" t="inlineStr">
        <is>
          <r>
            <rPr>
              <b/>
              <sz val="12"/>
              <color rgb="FFFFFFFF"/>
              <rFont val="KaiTi"/>
              <family val="2"/>
            </rPr>
            <t xml:space="preserve">期末（百万元）</t>
          </r>
        </is>
      </c>
      <c r="C139" s="3" t="inlineStr">
        <is>
          <r>
            <rPr>
              <b/>
              <sz val="12"/>
              <color rgb="FFFFFFFF"/>
              <rFont val="KaiTi"/>
              <family val="2"/>
            </rPr>
            <t xml:space="preserve">期初（百万元）</t>
          </r>
        </is>
      </c>
    </row>
    <row r="140" ht="20" customHeight="1">
      <c r="A140" s="12" t="inlineStr">
        <is>
          <r>
            <rPr>
              <sz val="12"/>
              <rFont val="KaiTi"/>
              <family val="2"/>
            </rPr>
            <t xml:space="preserve">存货跌价准备合计</t>
          </r>
        </is>
      </c>
      <c r="B140" s="22">
        <v>7716.449</v>
      </c>
      <c r="C140" s="22">
        <v>6059.183</v>
      </c>
    </row>
    <row r="141" ht="20" customHeight="1">
      <c r="A141" s="31" t="inlineStr">
        <is>
          <r>
            <rPr>
              <b/>
              <sz val="12"/>
              <rFont val="KaiTi"/>
              <family val="2"/>
            </rPr>
            <t xml:space="preserve">预计负债（</t>
          </r>
          <r>
            <rPr>
              <b/>
              <sz val="12"/>
              <rFont val="Arial"/>
              <family val="2"/>
            </rPr>
            <t xml:space="preserve">p.192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41" s="31"/>
      <c r="C141" s="31"/>
      <c r="D141" s="31"/>
      <c r="E141" s="31"/>
      <c r="F141" s="31"/>
      <c r="G141" s="31"/>
    </row>
    <row r="142" ht="24" customHeight="1">
      <c r="A142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42" s="3" t="inlineStr">
        <is>
          <r>
            <rPr>
              <b/>
              <sz val="12"/>
              <color rgb="FFFFFFFF"/>
              <rFont val="KaiTi"/>
              <family val="2"/>
            </rPr>
            <t xml:space="preserve">期末（百万元）</t>
          </r>
        </is>
      </c>
      <c r="C142" s="3" t="inlineStr">
        <is>
          <r>
            <rPr>
              <b/>
              <sz val="12"/>
              <color rgb="FFFFFFFF"/>
              <rFont val="KaiTi"/>
              <family val="2"/>
            </rPr>
            <t xml:space="preserve">期初（百万元）</t>
          </r>
        </is>
      </c>
    </row>
    <row r="143" ht="20" customHeight="1">
      <c r="A143" s="12" t="inlineStr">
        <is>
          <r>
            <rPr>
              <sz val="12"/>
              <rFont val="KaiTi"/>
              <family val="2"/>
            </rPr>
            <t xml:space="preserve">售后综合服务费</t>
          </r>
        </is>
      </c>
      <c r="B143" s="22">
        <v>51233.08</v>
      </c>
      <c r="C143" s="22">
        <v>39070.181</v>
      </c>
    </row>
    <row r="144" ht="20" customHeight="1">
      <c r="A144" s="12" t="inlineStr">
        <is>
          <r>
            <rPr>
              <sz val="12"/>
              <rFont val="KaiTi"/>
              <family val="2"/>
            </rPr>
            <t xml:space="preserve">销售返利</t>
          </r>
        </is>
      </c>
      <c r="B144" s="22">
        <v>33944.295</v>
      </c>
      <c r="C144" s="22">
        <v>32721.169</v>
      </c>
    </row>
    <row r="145" ht="20" customHeight="1">
      <c r="A145" s="12" t="inlineStr">
        <is>
          <r>
            <rPr>
              <sz val="12"/>
              <rFont val="KaiTi"/>
              <family val="2"/>
            </rPr>
            <t xml:space="preserve">预计负债合计</t>
          </r>
        </is>
      </c>
      <c r="B145" s="22">
        <v>85324.358</v>
      </c>
      <c r="C145" s="22">
        <v>71926.943</v>
      </c>
    </row>
    <row r="146" ht="20" customHeight="1">
      <c r="A146" s="31" t="inlineStr">
        <is>
          <r>
            <rPr>
              <b/>
              <sz val="12"/>
              <rFont val="KaiTi"/>
              <family val="2"/>
            </rPr>
            <t xml:space="preserve">主要资产项目（</t>
          </r>
          <r>
            <rPr>
              <b/>
              <sz val="12"/>
              <rFont val="Arial"/>
              <family val="2"/>
            </rPr>
            <t xml:space="preserve">p.31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46" s="31"/>
      <c r="C146" s="31"/>
      <c r="D146" s="31"/>
      <c r="E146" s="31"/>
      <c r="F146" s="31"/>
      <c r="G146" s="31"/>
    </row>
    <row r="147" ht="24" customHeight="1">
      <c r="A147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47" s="3" t="inlineStr">
        <is>
          <r>
            <rPr>
              <b/>
              <sz val="12"/>
              <color rgb="FFFFFFFF"/>
              <rFont val="KaiTi"/>
              <family val="2"/>
            </rPr>
            <t xml:space="preserve">期末（百万元）</t>
          </r>
        </is>
      </c>
      <c r="C147" s="3" t="inlineStr">
        <is>
          <r>
            <rPr>
              <b/>
              <sz val="12"/>
              <color rgb="FFFFFFFF"/>
              <rFont val="KaiTi"/>
              <family val="2"/>
            </rPr>
            <t xml:space="preserve">期末占总资产</t>
          </r>
        </is>
      </c>
      <c r="D147" s="3" t="inlineStr">
        <is>
          <r>
            <rPr>
              <b/>
              <sz val="12"/>
              <color rgb="FFFFFFFF"/>
              <rFont val="KaiTi"/>
              <family val="2"/>
            </rPr>
            <t xml:space="preserve">期初（百万元）</t>
          </r>
        </is>
      </c>
      <c r="E147" s="3" t="inlineStr">
        <is>
          <r>
            <rPr>
              <b/>
              <sz val="12"/>
              <color rgb="FFFFFFFF"/>
              <rFont val="KaiTi"/>
              <family val="2"/>
            </rPr>
            <t xml:space="preserve">期初占总资产</t>
          </r>
        </is>
      </c>
    </row>
    <row r="148" ht="20" customHeight="1">
      <c r="A148" s="12" t="inlineStr">
        <is>
          <r>
            <rPr>
              <sz val="12"/>
              <rFont val="KaiTi"/>
              <family val="2"/>
            </rPr>
            <t xml:space="preserve">货币资金</t>
          </r>
        </is>
      </c>
      <c r="B148" s="22">
        <v>333512.927</v>
      </c>
      <c r="C148" s="28">
        <v>0.3421</v>
      </c>
      <c r="D148" s="22">
        <v>303511.993</v>
      </c>
      <c r="E148" s="28">
        <v>0.3858</v>
      </c>
    </row>
    <row r="149" ht="20" customHeight="1">
      <c r="A149" s="12" t="inlineStr">
        <is>
          <r>
            <rPr>
              <sz val="12"/>
              <rFont val="KaiTi"/>
              <family val="2"/>
            </rPr>
            <t xml:space="preserve">交易性金融资产</t>
          </r>
        </is>
      </c>
      <c r="B149" s="22">
        <v>58993.528</v>
      </c>
      <c r="C149" s="28">
        <v>0.0605</v>
      </c>
      <c r="D149" s="22">
        <v>14282.253</v>
      </c>
      <c r="E149" s="28">
        <v>0.0182</v>
      </c>
    </row>
    <row r="150" ht="20" customHeight="1">
      <c r="A150" s="12" t="inlineStr">
        <is>
          <r>
            <rPr>
              <sz val="12"/>
              <rFont val="KaiTi"/>
              <family val="2"/>
            </rPr>
            <t xml:space="preserve">应收账款</t>
          </r>
        </is>
      </c>
      <c r="B150" s="22">
        <v>76403.264</v>
      </c>
      <c r="C150" s="28">
        <v>0.0784</v>
      </c>
      <c r="D150" s="22">
        <v>64135.51</v>
      </c>
      <c r="E150" s="28">
        <v>0.0815</v>
      </c>
    </row>
    <row r="151" ht="20" customHeight="1">
      <c r="A151" s="12" t="inlineStr">
        <is>
          <r>
            <rPr>
              <sz val="12"/>
              <rFont val="KaiTi"/>
              <family val="2"/>
            </rPr>
            <t xml:space="preserve">存货</t>
          </r>
        </is>
      </c>
      <c r="B151" s="22">
        <v>94526.239</v>
      </c>
      <c r="C151" s="28">
        <v>0.09699999999999999</v>
      </c>
      <c r="D151" s="22">
        <v>59835.533</v>
      </c>
      <c r="E151" s="28">
        <v>0.0761</v>
      </c>
    </row>
    <row r="152" ht="20" customHeight="1">
      <c r="A152" s="12" t="inlineStr">
        <is>
          <r>
            <rPr>
              <sz val="12"/>
              <rFont val="KaiTi"/>
              <family val="2"/>
            </rPr>
            <t xml:space="preserve">长期股权投资</t>
          </r>
        </is>
      </c>
      <c r="B152" s="22">
        <v>64884.321</v>
      </c>
      <c r="C152" s="28">
        <v>0.0666</v>
      </c>
      <c r="D152" s="22">
        <v>54791.525</v>
      </c>
      <c r="E152" s="28">
        <v>0.0697</v>
      </c>
    </row>
    <row r="153" ht="20" customHeight="1">
      <c r="A153" s="12" t="inlineStr">
        <is>
          <r>
            <rPr>
              <sz val="12"/>
              <rFont val="KaiTi"/>
              <family val="2"/>
            </rPr>
            <t xml:space="preserve">固定资产</t>
          </r>
        </is>
      </c>
      <c r="B153" s="22">
        <v>146400.592</v>
      </c>
      <c r="C153" s="28">
        <v>0.1502</v>
      </c>
      <c r="D153" s="22">
        <v>112589.053</v>
      </c>
      <c r="E153" s="28">
        <v>0.1431</v>
      </c>
    </row>
    <row r="154" ht="20" customHeight="1">
      <c r="A154" s="12" t="inlineStr">
        <is>
          <r>
            <rPr>
              <sz val="12"/>
              <rFont val="KaiTi"/>
              <family val="2"/>
            </rPr>
            <t xml:space="preserve">在建工程</t>
          </r>
        </is>
      </c>
      <c r="B154" s="22">
        <v>29733.108</v>
      </c>
      <c r="C154" s="28">
        <v>0.0305</v>
      </c>
      <c r="D154" s="22">
        <v>29754.703</v>
      </c>
      <c r="E154" s="28">
        <v>0.0378</v>
      </c>
    </row>
    <row r="155" ht="20" customHeight="1">
      <c r="A155" s="31" t="inlineStr">
        <is>
          <r>
            <rPr>
              <b/>
              <sz val="12"/>
              <rFont val="KaiTi"/>
              <family val="2"/>
            </rPr>
            <t xml:space="preserve">营运资本相关项目（</t>
          </r>
          <r>
            <rPr>
              <b/>
              <sz val="12"/>
              <rFont val="Arial"/>
              <family val="2"/>
            </rPr>
            <t xml:space="preserve">p.111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55" s="31"/>
      <c r="C155" s="31"/>
      <c r="D155" s="31"/>
      <c r="E155" s="31"/>
      <c r="F155" s="31"/>
      <c r="G155" s="31"/>
    </row>
    <row r="156" ht="24" customHeight="1">
      <c r="A156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56" s="3" t="inlineStr">
        <is>
          <r>
            <rPr>
              <b/>
              <sz val="12"/>
              <color rgb="FFFFFFFF"/>
              <rFont val="KaiTi"/>
              <family val="2"/>
            </rPr>
            <t xml:space="preserve">期末（百万元）</t>
          </r>
        </is>
      </c>
      <c r="C156" s="3" t="inlineStr">
        <is>
          <r>
            <rPr>
              <b/>
              <sz val="12"/>
              <color rgb="FFFFFFFF"/>
              <rFont val="KaiTi"/>
              <family val="2"/>
            </rPr>
            <t xml:space="preserve">期初（百万元）</t>
          </r>
        </is>
      </c>
    </row>
    <row r="157" ht="20" customHeight="1">
      <c r="A157" s="12" t="inlineStr">
        <is>
          <r>
            <rPr>
              <sz val="12"/>
              <rFont val="KaiTi"/>
              <family val="2"/>
            </rPr>
            <t xml:space="preserve">应收票据</t>
          </r>
        </is>
      </c>
      <c r="B157" s="22">
        <v>1380.016</v>
      </c>
      <c r="C157" s="22">
        <v>130.403</v>
      </c>
    </row>
    <row r="158" ht="20" customHeight="1">
      <c r="A158" s="12" t="inlineStr">
        <is>
          <r>
            <rPr>
              <sz val="12"/>
              <rFont val="KaiTi"/>
              <family val="2"/>
            </rPr>
            <t xml:space="preserve">应收款项融资</t>
          </r>
        </is>
      </c>
      <c r="B158" s="22">
        <v>43205.292</v>
      </c>
      <c r="C158" s="22">
        <v>53309.701</v>
      </c>
    </row>
    <row r="159" ht="20" customHeight="1">
      <c r="A159" s="12" t="inlineStr">
        <is>
          <r>
            <rPr>
              <sz val="12"/>
              <rFont val="KaiTi"/>
              <family val="2"/>
            </rPr>
            <t xml:space="preserve">预付款项</t>
          </r>
        </is>
      </c>
      <c r="B159" s="22">
        <v>14282.335</v>
      </c>
      <c r="C159" s="22">
        <v>5969.685</v>
      </c>
    </row>
    <row r="160" ht="20" customHeight="1">
      <c r="A160" s="12" t="inlineStr">
        <is>
          <r>
            <rPr>
              <sz val="12"/>
              <rFont val="KaiTi"/>
              <family val="2"/>
            </rPr>
            <t xml:space="preserve">应付票据</t>
          </r>
        </is>
      </c>
      <c r="B160" s="22">
        <v>103276.999</v>
      </c>
      <c r="C160" s="22">
        <v>67356.323</v>
      </c>
    </row>
    <row r="161" ht="20" customHeight="1">
      <c r="A161" s="12" t="inlineStr">
        <is>
          <r>
            <rPr>
              <sz val="12"/>
              <rFont val="KaiTi"/>
              <family val="2"/>
            </rPr>
            <t xml:space="preserve">应付账款</t>
          </r>
        </is>
      </c>
      <c r="B161" s="22">
        <v>160328.962</v>
      </c>
      <c r="C161" s="22">
        <v>130977.408</v>
      </c>
    </row>
    <row r="162" ht="20" customHeight="1">
      <c r="A162" s="12" t="inlineStr">
        <is>
          <r>
            <rPr>
              <sz val="12"/>
              <rFont val="KaiTi"/>
              <family val="2"/>
            </rPr>
            <t xml:space="preserve">合同负债</t>
          </r>
        </is>
      </c>
      <c r="B162" s="22">
        <v>49233.377</v>
      </c>
      <c r="C162" s="22">
        <v>27834.446</v>
      </c>
    </row>
    <row r="163" ht="20" customHeight="1">
      <c r="A163" s="12" t="inlineStr">
        <is>
          <r>
            <rPr>
              <sz val="12"/>
              <rFont val="KaiTi"/>
              <family val="2"/>
            </rPr>
            <t xml:space="preserve">预计负债</t>
          </r>
        </is>
      </c>
      <c r="B163" s="22">
        <v>85324.358</v>
      </c>
      <c r="C163" s="22">
        <v>71926.943</v>
      </c>
    </row>
    <row r="164" ht="20" customHeight="1">
      <c r="A164" s="12" t="inlineStr">
        <is>
          <r>
            <rPr>
              <sz val="12"/>
              <rFont val="KaiTi"/>
              <family val="2"/>
            </rPr>
            <t xml:space="preserve">递延收益</t>
          </r>
        </is>
      </c>
      <c r="B164" s="22">
        <v>27321.553</v>
      </c>
      <c r="C164" s="22">
        <v>22041.069</v>
      </c>
    </row>
    <row r="165" ht="20" customHeight="1">
      <c r="A165" s="31" t="inlineStr">
        <is>
          <r>
            <rPr>
              <b/>
              <sz val="12"/>
              <rFont val="KaiTi"/>
              <family val="2"/>
            </rPr>
            <t xml:space="preserve">货币资金（</t>
          </r>
          <r>
            <rPr>
              <b/>
              <sz val="12"/>
              <rFont val="Arial"/>
              <family val="2"/>
            </rPr>
            <t xml:space="preserve">p.164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65" s="31"/>
      <c r="C165" s="31"/>
      <c r="D165" s="31"/>
      <c r="E165" s="31"/>
      <c r="F165" s="31"/>
      <c r="G165" s="31"/>
    </row>
    <row r="166" ht="24" customHeight="1">
      <c r="A166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66" s="3" t="inlineStr">
        <is>
          <r>
            <rPr>
              <b/>
              <sz val="12"/>
              <color rgb="FFFFFFFF"/>
              <rFont val="KaiTi"/>
              <family val="2"/>
            </rPr>
            <t xml:space="preserve">期末（百万元）</t>
          </r>
        </is>
      </c>
      <c r="C166" s="3" t="inlineStr">
        <is>
          <r>
            <rPr>
              <b/>
              <sz val="12"/>
              <color rgb="FFFFFFFF"/>
              <rFont val="KaiTi"/>
              <family val="2"/>
            </rPr>
            <t xml:space="preserve">期初（百万元）</t>
          </r>
        </is>
      </c>
    </row>
    <row r="167" ht="20" customHeight="1">
      <c r="A167" s="12" t="inlineStr">
        <is>
          <r>
            <rPr>
              <sz val="12"/>
              <rFont val="KaiTi"/>
              <family val="2"/>
            </rPr>
            <t xml:space="preserve">货币资金合计</t>
          </r>
        </is>
      </c>
      <c r="B167" s="22">
        <v>333512.927</v>
      </c>
      <c r="C167" s="22">
        <v>303511.993</v>
      </c>
    </row>
    <row r="168" ht="20" customHeight="1">
      <c r="A168" s="12" t="inlineStr">
        <is>
          <r>
            <rPr>
              <sz val="12"/>
              <rFont val="KaiTi"/>
              <family val="2"/>
            </rPr>
            <t xml:space="preserve">存放在境外的款项总额</t>
          </r>
        </is>
      </c>
      <c r="B168" s="22">
        <v>87741.244</v>
      </c>
      <c r="C168" s="22">
        <v>35198.866</v>
      </c>
    </row>
    <row r="169" ht="20" customHeight="1">
      <c r="A169" s="31" t="inlineStr">
        <is>
          <r>
            <rPr>
              <b/>
              <sz val="12"/>
              <rFont val="KaiTi"/>
              <family val="2"/>
            </rPr>
            <t xml:space="preserve">三类现金流量净额（</t>
          </r>
          <r>
            <rPr>
              <b/>
              <sz val="12"/>
              <rFont val="Arial"/>
              <family val="2"/>
            </rPr>
            <t xml:space="preserve">p.30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69" s="31"/>
      <c r="C169" s="31"/>
      <c r="D169" s="31"/>
      <c r="E169" s="31"/>
      <c r="F169" s="31"/>
      <c r="G169" s="31"/>
    </row>
    <row r="170" ht="24" customHeight="1">
      <c r="A170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70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本期（百万元）</t>
          </r>
        </is>
      </c>
      <c r="C170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上期（百万元）</t>
          </r>
        </is>
      </c>
    </row>
    <row r="171" ht="20" customHeight="1">
      <c r="A171" s="12" t="inlineStr">
        <is>
          <r>
            <rPr>
              <sz val="12"/>
              <rFont val="KaiTi"/>
              <family val="2"/>
            </rPr>
            <t xml:space="preserve">经营活动现金流量净额</t>
          </r>
        </is>
      </c>
      <c r="B171" s="22">
        <v>133219.982</v>
      </c>
      <c r="C171" s="22">
        <v>96990.345</v>
      </c>
    </row>
    <row r="172" ht="20" customHeight="1">
      <c r="A172" s="12" t="inlineStr">
        <is>
          <r>
            <rPr>
              <sz val="12"/>
              <rFont val="KaiTi"/>
              <family val="2"/>
            </rPr>
            <t xml:space="preserve">投资活动现金流量净额</t>
          </r>
        </is>
      </c>
      <c r="B172" s="22">
        <v>-94475.79</v>
      </c>
      <c r="C172" s="22">
        <v>-48875.311</v>
      </c>
    </row>
    <row r="173" ht="20" customHeight="1">
      <c r="A173" s="12" t="inlineStr">
        <is>
          <r>
            <rPr>
              <sz val="12"/>
              <rFont val="KaiTi"/>
              <family val="2"/>
            </rPr>
            <t xml:space="preserve">筹资活动现金流量净额</t>
          </r>
        </is>
      </c>
      <c r="B173" s="22">
        <v>-6309.543</v>
      </c>
      <c r="C173" s="22">
        <v>-14524.236</v>
      </c>
    </row>
    <row r="174" ht="20" customHeight="1">
      <c r="A174" s="31" t="inlineStr">
        <is>
          <r>
            <rPr>
              <b/>
              <sz val="12"/>
              <rFont val="KaiTi"/>
              <family val="2"/>
            </rPr>
            <t xml:space="preserve">现金流量主要项目（</t>
          </r>
          <r>
            <rPr>
              <b/>
              <sz val="12"/>
              <rFont val="Arial"/>
              <family val="2"/>
            </rPr>
            <t xml:space="preserve">p.120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74" s="31"/>
      <c r="C174" s="31"/>
      <c r="D174" s="31"/>
      <c r="E174" s="31"/>
      <c r="F174" s="31"/>
      <c r="G174" s="31"/>
    </row>
    <row r="175" ht="24" customHeight="1">
      <c r="A175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75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本期（百万元）</t>
          </r>
        </is>
      </c>
      <c r="C175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上期（百万元）</t>
          </r>
        </is>
      </c>
    </row>
    <row r="176" ht="20" customHeight="1">
      <c r="A176" s="12" t="inlineStr">
        <is>
          <r>
            <rPr>
              <sz val="12"/>
              <rFont val="KaiTi"/>
              <family val="2"/>
            </rPr>
            <t xml:space="preserve">销售商品、提供劳务收到的现金</t>
          </r>
        </is>
      </c>
      <c r="B176" s="22">
        <v>477796.524</v>
      </c>
      <c r="C176" s="22">
        <v>417525.378</v>
      </c>
    </row>
    <row r="177" ht="20" customHeight="1">
      <c r="A177" s="12" t="inlineStr">
        <is>
          <r>
            <rPr>
              <sz val="12"/>
              <rFont val="KaiTi"/>
              <family val="2"/>
            </rPr>
            <t xml:space="preserve">购建固定资产等支付的现金</t>
          </r>
        </is>
      </c>
      <c r="B177" s="22">
        <v>42344.558</v>
      </c>
      <c r="C177" s="22">
        <v>31179.943</v>
      </c>
    </row>
    <row r="178" ht="20" customHeight="1">
      <c r="A178" s="12" t="inlineStr">
        <is>
          <r>
            <rPr>
              <sz val="12"/>
              <rFont val="KaiTi"/>
              <family val="2"/>
            </rPr>
            <t xml:space="preserve">投资支付的现金</t>
          </r>
        </is>
      </c>
      <c r="B178" s="22">
        <v>57533.827</v>
      </c>
      <c r="C178" s="22">
        <v>22169.451</v>
      </c>
    </row>
    <row r="179" ht="20" customHeight="1">
      <c r="A179" s="12" t="inlineStr">
        <is>
          <r>
            <rPr>
              <sz val="12"/>
              <rFont val="KaiTi"/>
              <family val="2"/>
            </rPr>
            <t xml:space="preserve">吸收投资收到的现金</t>
          </r>
        </is>
      </c>
      <c r="B179" s="22">
        <v>44813.984</v>
      </c>
      <c r="C179" s="22">
        <v>2560.428</v>
      </c>
    </row>
    <row r="180" ht="20" customHeight="1">
      <c r="A180" s="12" t="inlineStr">
        <is>
          <r>
            <rPr>
              <sz val="12"/>
              <rFont val="KaiTi"/>
              <family val="2"/>
            </rPr>
            <t xml:space="preserve">偿还债务支付的现金</t>
          </r>
        </is>
      </c>
      <c r="B180" s="22">
        <v>51702.039</v>
      </c>
      <c r="C180" s="22">
        <v>19972.24</v>
      </c>
    </row>
    <row r="181" ht="20" customHeight="1">
      <c r="A181" s="12" t="inlineStr">
        <is>
          <r>
            <rPr>
              <sz val="12"/>
              <rFont val="KaiTi"/>
              <family val="2"/>
            </rPr>
            <t xml:space="preserve">分配股利、利润或偿付利息支付的现金</t>
          </r>
        </is>
      </c>
      <c r="B181" s="22">
        <v>34923.036</v>
      </c>
      <c r="C181" s="22">
        <v>25807.432</v>
      </c>
    </row>
    <row r="182" ht="20" customHeight="1">
      <c r="A182" s="31" t="inlineStr">
        <is>
          <r>
            <rPr>
              <b/>
              <sz val="12"/>
              <rFont val="KaiTi"/>
              <family val="2"/>
            </rPr>
            <t xml:space="preserve">经营性营运资本变动（现金流量表补充资料）（</t>
          </r>
          <r>
            <rPr>
              <b/>
              <sz val="12"/>
              <rFont val="Arial"/>
              <family val="2"/>
            </rPr>
            <t xml:space="preserve">p.201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82" s="31"/>
      <c r="C182" s="31"/>
      <c r="D182" s="31"/>
      <c r="E182" s="31"/>
      <c r="F182" s="31"/>
      <c r="G182" s="31"/>
    </row>
    <row r="183" ht="24" customHeight="1">
      <c r="A183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83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本期（百万元）</t>
          </r>
        </is>
      </c>
      <c r="C183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上期（百万元）</t>
          </r>
        </is>
      </c>
    </row>
    <row r="184" ht="20" customHeight="1">
      <c r="A184" s="12" t="inlineStr">
        <is>
          <r>
            <rPr>
              <sz val="12"/>
              <rFont val="KaiTi"/>
              <family val="2"/>
            </rPr>
            <t xml:space="preserve">存货的减少</t>
          </r>
        </is>
      </c>
      <c r="B184" s="22">
        <v>-39837.988</v>
      </c>
      <c r="C184" s="22">
        <v>-16606.853</v>
      </c>
    </row>
    <row r="185" ht="20" customHeight="1">
      <c r="A185" s="12" t="inlineStr">
        <is>
          <r>
            <rPr>
              <sz val="12"/>
              <rFont val="KaiTi"/>
              <family val="2"/>
            </rPr>
            <t xml:space="preserve">经营性应收项目的减少</t>
          </r>
        </is>
      </c>
      <c r="B185" s="22">
        <v>-16911.542</v>
      </c>
      <c r="C185" s="22">
        <v>634.969</v>
      </c>
    </row>
    <row r="186" ht="20" customHeight="1">
      <c r="A186" s="12" t="inlineStr">
        <is>
          <r>
            <rPr>
              <sz val="12"/>
              <rFont val="KaiTi"/>
              <family val="2"/>
            </rPr>
            <t xml:space="preserve">经营性应付项目的增加</t>
          </r>
        </is>
      </c>
      <c r="B186" s="22">
        <v>89965.735</v>
      </c>
      <c r="C186" s="22">
        <v>31206.935</v>
      </c>
    </row>
    <row r="187" ht="20" customHeight="1">
      <c r="A187" s="12" t="inlineStr">
        <is>
          <r>
            <rPr>
              <sz val="12"/>
              <rFont val="KaiTi"/>
              <family val="2"/>
            </rPr>
            <t xml:space="preserve">资产减值准备</t>
          </r>
        </is>
      </c>
      <c r="B187" s="22">
        <v>8660.164</v>
      </c>
      <c r="C187" s="22">
        <v>8423.325</v>
      </c>
    </row>
    <row r="188" ht="20" customHeight="1">
      <c r="A188" s="31" t="inlineStr">
        <is>
          <r>
            <rPr>
              <b/>
              <sz val="12"/>
              <rFont val="KaiTi"/>
              <family val="2"/>
            </rPr>
            <t xml:space="preserve">重大在建项目（</t>
          </r>
          <r>
            <rPr>
              <b/>
              <sz val="12"/>
              <rFont val="Arial"/>
              <family val="2"/>
            </rPr>
            <t xml:space="preserve">p.33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88" s="31"/>
      <c r="C188" s="31"/>
      <c r="D188" s="31"/>
      <c r="E188" s="31"/>
      <c r="F188" s="31"/>
      <c r="G188" s="31"/>
    </row>
    <row r="189" ht="36" customHeight="1">
      <c r="A189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89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本期投入（百万元）</t>
          </r>
        </is>
      </c>
      <c r="C189" s="3" t="inlineStr">
        <is>
          <r>
            <rPr>
              <b/>
              <sz val="12"/>
              <color rgb="FFFFFFFF"/>
              <rFont val="KaiTi"/>
              <family val="2"/>
            </rPr>
            <t xml:space="preserve">累计投入（百万元）</t>
          </r>
        </is>
      </c>
    </row>
    <row r="190" ht="20" customHeight="1">
      <c r="A190" s="12" t="inlineStr">
        <is>
          <r>
            <rPr>
              <sz val="12"/>
              <rFont val="KaiTi"/>
              <family val="2"/>
            </rPr>
            <t xml:space="preserve">宜昌邦普一体化电池材料产业园</t>
          </r>
        </is>
      </c>
      <c r="B190" s="22">
        <v>2262.305</v>
      </c>
      <c r="C190" s="22">
        <v>16528.38</v>
      </c>
    </row>
    <row r="191" ht="20" customHeight="1">
      <c r="A191" s="12" t="inlineStr">
        <is>
          <r>
            <rPr>
              <sz val="12"/>
              <rFont val="KaiTi"/>
              <family val="2"/>
            </rPr>
            <t xml:space="preserve">印度尼西亚动力电池产业链</t>
          </r>
        </is>
      </c>
      <c r="B191" s="22">
        <v>1483.482</v>
      </c>
      <c r="C191" s="22">
        <v>5369.789</v>
      </c>
    </row>
    <row r="192" ht="20" customHeight="1">
      <c r="A192" s="12" t="inlineStr">
        <is>
          <r>
            <rPr>
              <sz val="12"/>
              <rFont val="KaiTi"/>
              <family val="2"/>
            </rPr>
            <t xml:space="preserve">山东时代新能源电池产业基地</t>
          </r>
        </is>
      </c>
      <c r="B192" s="22">
        <v>6801.291</v>
      </c>
      <c r="C192" s="22">
        <v>8799.218</v>
      </c>
    </row>
    <row r="193" ht="20" customHeight="1">
      <c r="A193" s="12" t="inlineStr">
        <is>
          <r>
            <rPr>
              <sz val="12"/>
              <rFont val="KaiTi"/>
              <family val="2"/>
            </rPr>
            <t xml:space="preserve">中州时代新能源电池生产基地</t>
          </r>
        </is>
      </c>
      <c r="B193" s="22">
        <v>7804.396</v>
      </c>
      <c r="C193" s="22">
        <v>9767.971</v>
      </c>
    </row>
    <row r="194" ht="20" customHeight="1">
      <c r="A194" s="12" t="inlineStr">
        <is>
          <r>
            <rPr>
              <sz val="12"/>
              <rFont val="KaiTi"/>
              <family val="2"/>
            </rPr>
            <t xml:space="preserve">匈牙利时代新能源电池产业基地</t>
          </r>
        </is>
      </c>
      <c r="B194" s="22">
        <v>5200.179</v>
      </c>
      <c r="C194" s="22">
        <v>9806.013</v>
      </c>
    </row>
    <row r="195" ht="20" customHeight="1">
      <c r="A195" s="31" t="inlineStr">
        <is>
          <r>
            <rPr>
              <b/>
              <sz val="12"/>
              <rFont val="Arial"/>
              <family val="2"/>
            </rPr>
            <t xml:space="preserve">2025 </t>
          </r>
          <r>
            <rPr>
              <b/>
              <sz val="12"/>
              <rFont val="KaiTi"/>
              <family val="2"/>
            </rPr>
            <t xml:space="preserve">年度利润分配（</t>
          </r>
          <r>
            <rPr>
              <b/>
              <sz val="12"/>
              <rFont val="Arial"/>
              <family val="2"/>
            </rPr>
            <t xml:space="preserve">p.58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95" s="31"/>
      <c r="C195" s="31"/>
      <c r="D195" s="31"/>
      <c r="E195" s="31"/>
      <c r="F195" s="31"/>
      <c r="G195" s="31"/>
    </row>
    <row r="196" ht="24" customHeight="1">
      <c r="A196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96" s="3" t="inlineStr">
        <is>
          <r>
            <rPr>
              <b/>
              <sz val="12"/>
              <color rgb="FFFFFFFF"/>
              <rFont val="KaiTi"/>
              <family val="2"/>
            </rPr>
            <t xml:space="preserve">金额（百万元）</t>
          </r>
        </is>
      </c>
    </row>
    <row r="197" ht="20" customHeight="1">
      <c r="A197" s="12" t="inlineStr">
        <is>
          <r>
            <rPr>
              <sz val="12"/>
              <rFont val="KaiTi"/>
              <family val="2"/>
            </rPr>
            <t xml:space="preserve">年度现金分红</t>
          </r>
        </is>
      </c>
      <c r="B197" s="22">
        <v>31532.20631817</v>
      </c>
    </row>
    <row r="198" ht="20" customHeight="1">
      <c r="A198" s="12" t="inlineStr">
        <is>
          <r>
            <rPr>
              <sz val="12"/>
              <rFont val="KaiTi"/>
              <family val="2"/>
            </rPr>
            <t xml:space="preserve">回购计入现金分红</t>
          </r>
        </is>
      </c>
      <c r="B198" s="22">
        <v>4385.504687899999</v>
      </c>
    </row>
    <row r="199" ht="20" customHeight="1">
      <c r="A199" s="12" t="inlineStr">
        <is>
          <r>
            <rPr>
              <sz val="12"/>
              <rFont val="KaiTi"/>
              <family val="2"/>
            </rPr>
            <t xml:space="preserve">现金分红总额（含其他方式）</t>
          </r>
        </is>
      </c>
      <c r="B199" s="22">
        <v>40486.14557182</v>
      </c>
    </row>
    <row r="200" ht="20" customHeight="1">
      <c r="A200" s="12" t="inlineStr">
        <is>
          <r>
            <rPr>
              <sz val="12"/>
              <rFont val="KaiTi"/>
              <family val="2"/>
            </rPr>
            <t xml:space="preserve">中期现金分红</t>
          </r>
        </is>
      </c>
      <c r="B200" s="22">
        <v>4568.43456575</v>
      </c>
    </row>
    <row r="201" ht="20" customHeight="1">
      <c r="A201" s="12" t="inlineStr">
        <is>
          <r>
            <rPr>
              <sz val="12"/>
              <rFont val="KaiTi"/>
              <family val="2"/>
            </rPr>
            <t xml:space="preserve">按归母净利润</t>
          </r>
          <r>
            <rPr>
              <sz val="12"/>
              <rFont val="Arial"/>
              <family val="2"/>
            </rPr>
            <t xml:space="preserve">50%</t>
          </r>
          <r>
            <rPr>
              <sz val="12"/>
              <rFont val="KaiTi"/>
              <family val="2"/>
            </rPr>
            <t xml:space="preserve">确定的分配额</t>
          </r>
        </is>
      </c>
      <c r="B201" s="22">
        <v>36100.64088392</v>
      </c>
    </row>
    <row r="202" ht="20" customHeight="1">
      <c r="A202" s="31" t="inlineStr">
        <is>
          <r>
            <rPr>
              <b/>
              <sz val="12"/>
              <rFont val="KaiTi"/>
              <family val="2"/>
            </rPr>
            <t xml:space="preserve">每 </t>
          </r>
          <r>
            <rPr>
              <b/>
              <sz val="12"/>
              <rFont val="Arial"/>
              <family val="2"/>
            </rPr>
            <t xml:space="preserve">10 </t>
          </r>
          <r>
            <rPr>
              <b/>
              <sz val="12"/>
              <rFont val="KaiTi"/>
              <family val="2"/>
            </rPr>
            <t xml:space="preserve">股派息（含税）（</t>
          </r>
          <r>
            <rPr>
              <b/>
              <sz val="12"/>
              <rFont val="Arial"/>
              <family val="2"/>
            </rPr>
            <t xml:space="preserve">p.58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202" s="31"/>
      <c r="C202" s="31"/>
      <c r="D202" s="31"/>
      <c r="E202" s="31"/>
      <c r="F202" s="31"/>
      <c r="G202" s="31"/>
    </row>
    <row r="203" ht="36" customHeight="1">
      <c r="A203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203" s="3" t="inlineStr">
        <is>
          <r>
            <rPr>
              <b/>
              <sz val="12"/>
              <color rgb="FFFFFFFF"/>
              <rFont val="KaiTi"/>
              <family val="2"/>
            </rPr>
            <t xml:space="preserve">每</t>
          </r>
          <r>
            <rPr>
              <b/>
              <sz val="12"/>
              <color rgb="FFFFFFFF"/>
              <rFont val="Arial"/>
              <family val="2"/>
            </rPr>
            <t xml:space="preserve">10</t>
          </r>
          <r>
            <rPr>
              <b/>
              <sz val="12"/>
              <color rgb="FFFFFFFF"/>
              <rFont val="KaiTi"/>
              <family val="2"/>
            </rPr>
            <t xml:space="preserve">股派息（元</t>
          </r>
          <r>
            <rPr>
              <b/>
              <sz val="12"/>
              <color rgb="FFFFFFFF"/>
              <rFont val="Arial"/>
              <family val="2"/>
            </rPr>
            <t xml:space="preserve">/</t>
          </r>
          <r>
            <rPr>
              <b/>
              <sz val="12"/>
              <color rgb="FFFFFFFF"/>
              <rFont val="KaiTi"/>
              <family val="2"/>
            </rPr>
            <t xml:space="preserve">股）</t>
          </r>
        </is>
      </c>
    </row>
    <row r="204" ht="20" customHeight="1">
      <c r="A204" s="12" t="inlineStr">
        <is>
          <r>
            <rPr>
              <sz val="12"/>
              <rFont val="Arial"/>
              <family val="2"/>
            </rPr>
            <t xml:space="preserve">2024</t>
          </r>
          <r>
            <rPr>
              <sz val="12"/>
              <rFont val="KaiTi"/>
              <family val="2"/>
            </rPr>
            <t xml:space="preserve">年特别分红</t>
          </r>
        </is>
      </c>
      <c r="B204" s="25">
        <v>12.3</v>
      </c>
    </row>
    <row r="205" ht="20" customHeight="1">
      <c r="A205" s="12" t="inlineStr">
        <is>
          <r>
            <rPr>
              <sz val="12"/>
              <rFont val="Arial"/>
              <family val="2"/>
            </rPr>
            <t xml:space="preserve">2024</t>
          </r>
          <r>
            <rPr>
              <sz val="12"/>
              <rFont val="KaiTi"/>
              <family val="2"/>
            </rPr>
            <t xml:space="preserve">年度</t>
          </r>
        </is>
      </c>
      <c r="B205" s="25">
        <v>45.53</v>
      </c>
    </row>
    <row r="206" ht="20" customHeight="1">
      <c r="A206" s="12" t="inlineStr">
        <is>
          <r>
            <rPr>
              <sz val="12"/>
              <rFont val="Arial"/>
              <family val="2"/>
            </rPr>
            <t xml:space="preserve">2025</t>
          </r>
          <r>
            <rPr>
              <sz val="12"/>
              <rFont val="KaiTi"/>
              <family val="2"/>
            </rPr>
            <t xml:space="preserve">年中期</t>
          </r>
        </is>
      </c>
      <c r="B206" s="25">
        <v>10.07</v>
      </c>
    </row>
    <row r="207" ht="20" customHeight="1">
      <c r="A207" s="12" t="inlineStr">
        <is>
          <r>
            <rPr>
              <sz val="12"/>
              <rFont val="Arial"/>
              <family val="2"/>
            </rPr>
            <t xml:space="preserve">2025</t>
          </r>
          <r>
            <rPr>
              <sz val="12"/>
              <rFont val="KaiTi"/>
              <family val="2"/>
            </rPr>
            <t xml:space="preserve">年度</t>
          </r>
        </is>
      </c>
      <c r="B207" s="25">
        <v>69.57</v>
      </c>
    </row>
    <row r="208" ht="20" customHeight="1">
      <c r="A208" s="31" t="inlineStr">
        <is>
          <r>
            <rPr>
              <b/>
              <sz val="12"/>
              <rFont val="KaiTi"/>
              <family val="2"/>
            </rPr>
            <t xml:space="preserve">股份回购（</t>
          </r>
          <r>
            <rPr>
              <b/>
              <sz val="12"/>
              <rFont val="Arial"/>
              <family val="2"/>
            </rPr>
            <t xml:space="preserve">p.41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208" s="31"/>
      <c r="C208" s="31"/>
      <c r="D208" s="31"/>
      <c r="E208" s="31"/>
      <c r="F208" s="31"/>
      <c r="G208" s="31"/>
    </row>
    <row r="209" ht="24" customHeight="1">
      <c r="A209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209" s="3" t="inlineStr">
        <is>
          <r>
            <rPr>
              <b/>
              <sz val="12"/>
              <color rgb="FFFFFFFF"/>
              <rFont val="KaiTi"/>
              <family val="2"/>
            </rPr>
            <t xml:space="preserve">金额（百万元）</t>
          </r>
        </is>
      </c>
    </row>
    <row r="210" ht="20" customHeight="1">
      <c r="A210" s="12" t="inlineStr">
        <is>
          <r>
            <rPr>
              <sz val="12"/>
              <rFont val="KaiTi"/>
              <family val="2"/>
            </rPr>
            <t xml:space="preserve">截至期末累计回购金额</t>
          </r>
        </is>
      </c>
      <c r="B210" s="22">
        <v>4386.0</v>
      </c>
    </row>
    <row r="211" ht="20" customHeight="1">
      <c r="A211" s="31" t="inlineStr">
        <is>
          <r>
            <rPr>
              <b/>
              <sz val="12"/>
              <rFont val="KaiTi"/>
              <family val="2"/>
            </rPr>
            <t xml:space="preserve">主要股东持股（</t>
          </r>
          <r>
            <rPr>
              <b/>
              <sz val="12"/>
              <rFont val="Arial"/>
              <family val="2"/>
            </rPr>
            <t xml:space="preserve">p.97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211" s="31"/>
      <c r="C211" s="31"/>
      <c r="D211" s="31"/>
      <c r="E211" s="31"/>
      <c r="F211" s="31"/>
      <c r="G211" s="31"/>
    </row>
    <row r="212" ht="36" customHeight="1">
      <c r="A212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212" s="3" t="inlineStr">
        <is>
          <r>
            <rPr>
              <b/>
              <sz val="12"/>
              <color rgb="FFFFFFFF"/>
              <rFont val="KaiTi"/>
              <family val="2"/>
            </rPr>
            <t xml:space="preserve">持股数量（百万元）</t>
          </r>
        </is>
      </c>
      <c r="C212" s="3" t="inlineStr">
        <is>
          <r>
            <rPr>
              <b/>
              <sz val="12"/>
              <color rgb="FFFFFFFF"/>
              <rFont val="KaiTi"/>
              <family val="2"/>
            </rPr>
            <t xml:space="preserve">持股比例</t>
          </r>
        </is>
      </c>
    </row>
    <row r="213" ht="20" customHeight="1">
      <c r="A213" s="12" t="inlineStr">
        <is>
          <r>
            <rPr>
              <sz val="12"/>
              <rFont val="KaiTi"/>
              <family val="2"/>
            </rPr>
            <t xml:space="preserve">厦门瑞庭投资有限公司</t>
          </r>
        </is>
      </c>
      <c r="B213" s="22">
        <v>1024.704949</v>
      </c>
      <c r="C213" s="28">
        <v>0.2245</v>
      </c>
    </row>
    <row r="214" ht="20" customHeight="1">
      <c r="A214" s="12" t="inlineStr">
        <is>
          <r>
            <rPr>
              <sz val="12"/>
              <rFont val="KaiTi"/>
              <family val="2"/>
            </rPr>
            <t xml:space="preserve">香港中央结算有限公司</t>
          </r>
        </is>
      </c>
      <c r="B214" s="22">
        <v>692.541784</v>
      </c>
      <c r="C214" s="28">
        <v>0.1517</v>
      </c>
    </row>
    <row r="215" ht="20" customHeight="1">
      <c r="A215" s="12" t="inlineStr">
        <is>
          <r>
            <rPr>
              <sz val="12"/>
              <rFont val="KaiTi"/>
              <family val="2"/>
            </rPr>
            <t xml:space="preserve">黄世霖</t>
          </r>
        </is>
      </c>
      <c r="B215" s="22">
        <v>420.388947</v>
      </c>
      <c r="C215" s="28">
        <v>0.09210000000000002</v>
      </c>
    </row>
    <row r="216" ht="20" customHeight="1">
      <c r="A216" s="12" t="inlineStr">
        <is>
          <r>
            <rPr>
              <sz val="12"/>
              <rFont val="KaiTi"/>
              <family val="2"/>
            </rPr>
            <t xml:space="preserve">宁波联合创新新能源投资管理合伙企业（有限合伙）</t>
          </r>
        </is>
      </c>
      <c r="B216" s="22">
        <v>284.220608</v>
      </c>
      <c r="C216" s="28">
        <v>0.0623</v>
      </c>
    </row>
    <row r="217" ht="20" customHeight="1">
      <c r="A217" s="12" t="inlineStr">
        <is>
          <r>
            <rPr>
              <sz val="12"/>
              <rFont val="KaiTi"/>
              <family val="2"/>
            </rPr>
            <t xml:space="preserve">李平</t>
          </r>
        </is>
      </c>
      <c r="B217" s="22">
        <v>197.460277</v>
      </c>
      <c r="C217" s="28">
        <v>0.0433</v>
      </c>
    </row>
    <row r="218" ht="20" customHeight="1">
      <c r="A218" s="12" t="inlineStr">
        <is>
          <t xml:space="preserve">HKSCC NOMINEES LIMITED</t>
        </is>
      </c>
      <c r="B218" s="22">
        <v>155.906787</v>
      </c>
      <c r="C218" s="28">
        <v>0.0342</v>
      </c>
    </row>
    <row r="219" ht="20" customHeight="1">
      <c r="A219" s="31" t="inlineStr">
        <is>
          <r>
            <rPr>
              <b/>
              <sz val="12"/>
              <rFont val="Arial"/>
              <family val="2"/>
            </rPr>
            <t xml:space="preserve">H </t>
          </r>
          <r>
            <rPr>
              <b/>
              <sz val="12"/>
              <rFont val="KaiTi"/>
              <family val="2"/>
            </rPr>
            <t xml:space="preserve">股发行（</t>
          </r>
          <r>
            <rPr>
              <b/>
              <sz val="12"/>
              <rFont val="Arial"/>
              <family val="2"/>
            </rPr>
            <t xml:space="preserve">p.20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219" s="31"/>
      <c r="C219" s="31"/>
      <c r="D219" s="31"/>
      <c r="E219" s="31"/>
      <c r="F219" s="31"/>
      <c r="G219" s="31"/>
    </row>
    <row r="220" ht="24" customHeight="1">
      <c r="A220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220" s="3" t="inlineStr">
        <is>
          <r>
            <rPr>
              <b/>
              <sz val="12"/>
              <color rgb="FFFFFFFF"/>
              <rFont val="KaiTi"/>
              <family val="2"/>
            </rPr>
            <t xml:space="preserve">数量（百万元）</t>
          </r>
        </is>
      </c>
    </row>
    <row r="221" ht="20" customHeight="1">
      <c r="A221" s="12" t="inlineStr">
        <is>
          <r>
            <rPr>
              <sz val="12"/>
              <rFont val="Arial"/>
              <family val="2"/>
            </rPr>
            <t xml:space="preserve">H</t>
          </r>
          <r>
            <rPr>
              <sz val="12"/>
              <rFont val="KaiTi"/>
              <family val="2"/>
            </rPr>
            <t xml:space="preserve">股全球发售股份</t>
          </r>
        </is>
      </c>
      <c r="B221" s="22">
        <v>155.9153</v>
      </c>
    </row>
    <row r="222" ht="20" customHeight="1">
      <c r="A222" s="31" t="inlineStr">
        <is>
          <r>
            <rPr>
              <b/>
              <sz val="12"/>
              <rFont val="KaiTi"/>
              <family val="2"/>
            </rPr>
            <t xml:space="preserve">换电网络（</t>
          </r>
          <r>
            <rPr>
              <b/>
              <sz val="12"/>
              <rFont val="Arial"/>
              <family val="2"/>
            </rPr>
            <t xml:space="preserve">p.3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222" s="31"/>
      <c r="C222" s="31"/>
      <c r="D222" s="31"/>
      <c r="E222" s="31"/>
      <c r="F222" s="31"/>
      <c r="G222" s="31"/>
    </row>
    <row r="223" ht="24" customHeight="1">
      <c r="A223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223" s="3" t="inlineStr">
        <is>
          <r>
            <rPr>
              <b/>
              <sz val="12"/>
              <color rgb="FFFFFFFF"/>
              <rFont val="KaiTi"/>
              <family val="2"/>
            </rPr>
            <t xml:space="preserve">数量（座）</t>
          </r>
        </is>
      </c>
    </row>
    <row r="224" ht="20" customHeight="1">
      <c r="A224" s="12" t="inlineStr">
        <is>
          <r>
            <rPr>
              <sz val="12"/>
              <rFont val="KaiTi"/>
              <family val="2"/>
            </rPr>
            <t xml:space="preserve">累计建成换电站</t>
          </r>
        </is>
      </c>
      <c r="B224" s="25">
        <v>1325.0</v>
      </c>
    </row>
    <row r="225" ht="20" customHeight="1">
      <c r="A225" s="31" t="inlineStr">
        <is>
          <r>
            <rPr>
              <b/>
              <sz val="12"/>
              <rFont val="KaiTi"/>
              <family val="2"/>
            </rPr>
            <t xml:space="preserve">程序计算的比率（公式引用上表）</t>
          </r>
        </is>
      </c>
      <c r="B225" s="31"/>
      <c r="C225" s="31"/>
      <c r="D225" s="31"/>
      <c r="E225" s="31"/>
      <c r="F225" s="31"/>
      <c r="G225" s="31"/>
    </row>
    <row r="226" ht="24" customHeight="1">
      <c r="A226" s="3" t="inlineStr">
        <is>
          <r>
            <rPr>
              <b/>
              <sz val="12"/>
              <color rgb="FFFFFFFF"/>
              <rFont val="KaiTi"/>
              <family val="2"/>
            </rPr>
            <t xml:space="preserve">比率</t>
          </r>
        </is>
      </c>
      <c r="B226" s="3" t="inlineStr">
        <is>
          <r>
            <rPr>
              <b/>
              <sz val="12"/>
              <color rgb="FFFFFFFF"/>
              <rFont val="KaiTi"/>
              <family val="2"/>
            </rPr>
            <t xml:space="preserve">数值</t>
          </r>
        </is>
      </c>
      <c r="C226" s="3" t="inlineStr">
        <is>
          <r>
            <rPr>
              <b/>
              <sz val="12"/>
              <color rgb="FFFFFFFF"/>
              <rFont val="KaiTi"/>
              <family val="2"/>
            </rPr>
            <t xml:space="preserve">单位</t>
          </r>
        </is>
      </c>
    </row>
    <row r="227" ht="20" customHeight="1">
      <c r="A227" s="12" t="inlineStr">
        <is>
          <r>
            <rPr>
              <sz val="12"/>
              <rFont val="KaiTi"/>
              <family val="2"/>
            </rPr>
            <t xml:space="preserve">动力电池单位售价</t>
          </r>
        </is>
      </c>
      <c r="B227" s="25">
        <v>0.5850394990757857</v>
      </c>
      <c r="C227" s="12" t="inlineStr">
        <is>
          <r>
            <rPr>
              <sz val="12"/>
              <rFont val="KaiTi"/>
              <family val="2"/>
            </rPr>
            <t xml:space="preserve">元</t>
          </r>
          <r>
            <rPr>
              <sz val="12"/>
              <rFont val="Arial"/>
              <family val="2"/>
            </rPr>
            <t xml:space="preserve">/Wh</t>
          </r>
        </is>
      </c>
    </row>
    <row r="228" ht="20" customHeight="1">
      <c r="A228" s="12" t="inlineStr">
        <is>
          <r>
            <rPr>
              <sz val="12"/>
              <rFont val="KaiTi"/>
              <family val="2"/>
            </rPr>
            <t xml:space="preserve">储能电池单位售价</t>
          </r>
        </is>
      </c>
      <c r="B228" s="25">
        <v>0.5160315702479339</v>
      </c>
      <c r="C228" s="12" t="inlineStr">
        <is>
          <r>
            <rPr>
              <sz val="12"/>
              <rFont val="KaiTi"/>
              <family val="2"/>
            </rPr>
            <t xml:space="preserve">元</t>
          </r>
          <r>
            <rPr>
              <sz val="12"/>
              <rFont val="Arial"/>
              <family val="2"/>
            </rPr>
            <t xml:space="preserve">/Wh</t>
          </r>
        </is>
      </c>
    </row>
    <row r="229" ht="20" customHeight="1">
      <c r="A229" s="12" t="inlineStr">
        <is>
          <r>
            <rPr>
              <sz val="12"/>
              <rFont val="KaiTi"/>
              <family val="2"/>
            </rPr>
            <t xml:space="preserve">动力电池单位成本</t>
          </r>
        </is>
      </c>
      <c r="B229" s="25">
        <v>0.445590382624769</v>
      </c>
      <c r="C229" s="12" t="inlineStr">
        <is>
          <r>
            <rPr>
              <sz val="12"/>
              <rFont val="KaiTi"/>
              <family val="2"/>
            </rPr>
            <t xml:space="preserve">元</t>
          </r>
          <r>
            <rPr>
              <sz val="12"/>
              <rFont val="Arial"/>
              <family val="2"/>
            </rPr>
            <t xml:space="preserve">/Wh</t>
          </r>
        </is>
      </c>
    </row>
    <row r="230" ht="20" customHeight="1">
      <c r="A230" s="12" t="inlineStr">
        <is>
          <r>
            <rPr>
              <sz val="12"/>
              <rFont val="KaiTi"/>
              <family val="2"/>
            </rPr>
            <t xml:space="preserve">储能电池单位成本</t>
          </r>
        </is>
      </c>
      <c r="B230" s="25">
        <v>0.378212305785124</v>
      </c>
      <c r="C230" s="12" t="inlineStr">
        <is>
          <r>
            <rPr>
              <sz val="12"/>
              <rFont val="KaiTi"/>
              <family val="2"/>
            </rPr>
            <t xml:space="preserve">元</t>
          </r>
          <r>
            <rPr>
              <sz val="12"/>
              <rFont val="Arial"/>
              <family val="2"/>
            </rPr>
            <t xml:space="preserve">/Wh</t>
          </r>
        </is>
      </c>
    </row>
    <row r="231" ht="20" customHeight="1">
      <c r="A231" s="12" t="inlineStr">
        <is>
          <r>
            <rPr>
              <sz val="12"/>
              <rFont val="KaiTi"/>
              <family val="2"/>
            </rPr>
            <t xml:space="preserve">动力电池单位毛利</t>
          </r>
        </is>
      </c>
      <c r="B231" s="25">
        <v>0.13944911645101665</v>
      </c>
      <c r="C231" s="12" t="inlineStr">
        <is>
          <r>
            <rPr>
              <sz val="12"/>
              <rFont val="KaiTi"/>
              <family val="2"/>
            </rPr>
            <t xml:space="preserve">元</t>
          </r>
        </is>
      </c>
    </row>
    <row r="232" ht="20" customHeight="1">
      <c r="A232" s="12" t="inlineStr">
        <is>
          <r>
            <rPr>
              <sz val="12"/>
              <rFont val="KaiTi"/>
              <family val="2"/>
            </rPr>
            <t xml:space="preserve">储能电池单位毛利</t>
          </r>
        </is>
      </c>
      <c r="B232" s="25">
        <v>0.1378192644628099</v>
      </c>
      <c r="C232" s="12" t="inlineStr">
        <is>
          <r>
            <rPr>
              <sz val="12"/>
              <rFont val="KaiTi"/>
              <family val="2"/>
            </rPr>
            <t xml:space="preserve">元</t>
          </r>
        </is>
      </c>
    </row>
    <row r="233" ht="20" customHeight="1">
      <c r="A233" s="12" t="inlineStr">
        <is>
          <r>
            <rPr>
              <sz val="12"/>
              <rFont val="KaiTi"/>
              <family val="2"/>
            </rPr>
            <t xml:space="preserve">电气机械减电池材料（本期）</t>
          </r>
        </is>
      </c>
      <c r="B233" s="25">
        <v>395862802000.0</v>
      </c>
      <c r="C233" s="12" t="inlineStr">
        <is>
          <r>
            <rPr>
              <sz val="12"/>
              <rFont val="KaiTi"/>
              <family val="2"/>
            </rPr>
            <t xml:space="preserve">元</t>
          </r>
        </is>
      </c>
    </row>
    <row r="234" ht="20" customHeight="1">
      <c r="A234" s="12" t="inlineStr">
        <is>
          <r>
            <rPr>
              <sz val="12"/>
              <rFont val="KaiTi"/>
              <family val="2"/>
            </rPr>
            <t xml:space="preserve">动力与储能电池系统合计收入</t>
          </r>
        </is>
      </c>
      <c r="B234" s="25">
        <v>378946190000.0</v>
      </c>
      <c r="C234" s="12" t="inlineStr">
        <is>
          <r>
            <rPr>
              <sz val="12"/>
              <rFont val="KaiTi"/>
              <family val="2"/>
            </rPr>
            <t xml:space="preserve">元</t>
          </r>
        </is>
      </c>
    </row>
    <row r="235" ht="20" customHeight="1">
      <c r="A235" s="12" t="inlineStr">
        <is>
          <r>
            <rPr>
              <sz val="12"/>
              <rFont val="KaiTi"/>
              <family val="2"/>
            </rPr>
            <t xml:space="preserve">电气机械减电池材料（上期）</t>
          </r>
        </is>
      </c>
      <c r="B235" s="25">
        <v>327819616000.0</v>
      </c>
      <c r="C235" s="12" t="inlineStr">
        <is>
          <r>
            <rPr>
              <sz val="12"/>
              <rFont val="KaiTi"/>
              <family val="2"/>
            </rPr>
            <t xml:space="preserve">元</t>
          </r>
        </is>
      </c>
    </row>
    <row r="236" ht="20" customHeight="1">
      <c r="A236" s="12" t="inlineStr">
        <is>
          <r>
            <rPr>
              <sz val="12"/>
              <rFont val="KaiTi"/>
              <family val="2"/>
            </rPr>
            <t xml:space="preserve">动力与储能电池系统合计收入（上期）</t>
          </r>
        </is>
      </c>
      <c r="B236" s="25">
        <v>310331798000.0</v>
      </c>
      <c r="C236" s="12" t="inlineStr">
        <is>
          <r>
            <rPr>
              <sz val="12"/>
              <rFont val="KaiTi"/>
              <family val="2"/>
            </rPr>
            <t xml:space="preserve">元</t>
          </r>
        </is>
      </c>
    </row>
    <row r="237" ht="20" customHeight="1">
      <c r="A237" s="12" t="inlineStr">
        <is>
          <r>
            <rPr>
              <sz val="12"/>
              <rFont val="KaiTi"/>
              <family val="2"/>
            </rPr>
            <t xml:space="preserve">动力与储能电池系统合计收入同比</t>
          </r>
        </is>
      </c>
      <c r="B237" s="28">
        <v>0.22110010138245648</v>
      </c>
      <c r="C237" s="12" t="inlineStr">
        <is>
          <t xml:space="preserve">%</t>
        </is>
      </c>
    </row>
    <row r="238" ht="20" customHeight="1">
      <c r="A238" s="12" t="inlineStr">
        <is>
          <r>
            <rPr>
              <sz val="12"/>
              <rFont val="KaiTi"/>
              <family val="2"/>
            </rPr>
            <t xml:space="preserve">电池系统平均单位售价</t>
          </r>
        </is>
      </c>
      <c r="B238" s="25">
        <v>0.5732922692889562</v>
      </c>
      <c r="C238" s="12" t="inlineStr">
        <is>
          <r>
            <rPr>
              <sz val="12"/>
              <rFont val="KaiTi"/>
              <family val="2"/>
            </rPr>
            <t xml:space="preserve">元</t>
          </r>
          <r>
            <rPr>
              <sz val="12"/>
              <rFont val="Arial"/>
              <family val="2"/>
            </rPr>
            <t xml:space="preserve">/Wh</t>
          </r>
        </is>
      </c>
    </row>
    <row r="239" ht="20" customHeight="1">
      <c r="A239" s="12" t="inlineStr">
        <is>
          <r>
            <rPr>
              <sz val="12"/>
              <rFont val="KaiTi"/>
              <family val="2"/>
            </rPr>
            <t xml:space="preserve">电池系统平均单位售价（上期）</t>
          </r>
        </is>
      </c>
      <c r="B239" s="25">
        <v>0.6533301010526317</v>
      </c>
      <c r="C239" s="12" t="inlineStr">
        <is>
          <r>
            <rPr>
              <sz val="12"/>
              <rFont val="KaiTi"/>
              <family val="2"/>
            </rPr>
            <t xml:space="preserve">元</t>
          </r>
          <r>
            <rPr>
              <sz val="12"/>
              <rFont val="Arial"/>
              <family val="2"/>
            </rPr>
            <t xml:space="preserve">/Wh</t>
          </r>
        </is>
      </c>
    </row>
    <row r="240" ht="20" customHeight="1">
      <c r="A240" s="12" t="inlineStr">
        <is>
          <r>
            <rPr>
              <sz val="12"/>
              <rFont val="KaiTi"/>
              <family val="2"/>
            </rPr>
            <t xml:space="preserve">电池系统平均单位售价同比</t>
          </r>
        </is>
      </c>
      <c r="B240" s="28">
        <v>-0.12250749144225903</v>
      </c>
      <c r="C240" s="12" t="inlineStr">
        <is>
          <t xml:space="preserve">%</t>
        </is>
      </c>
    </row>
    <row r="241" ht="20" customHeight="1">
      <c r="A241" s="12" t="inlineStr">
        <is>
          <r>
            <rPr>
              <sz val="12"/>
              <rFont val="KaiTi"/>
              <family val="2"/>
            </rPr>
            <t xml:space="preserve">动力电池销量占比</t>
          </r>
        </is>
      </c>
      <c r="B241" s="13">
        <f>B34/B38</f>
        <v>0.8184568835098335</v>
      </c>
      <c r="C241" s="12" t="inlineStr">
        <is>
          <t xml:space="preserve">%</t>
        </is>
      </c>
    </row>
    <row r="242" ht="20" customHeight="1">
      <c r="A242" s="12" t="inlineStr">
        <is>
          <r>
            <rPr>
              <sz val="12"/>
              <rFont val="KaiTi"/>
              <family val="2"/>
            </rPr>
            <t xml:space="preserve">储能电池销量占比</t>
          </r>
        </is>
      </c>
      <c r="B242" s="13">
        <f>B35/B38</f>
        <v>0.18305597579425115</v>
      </c>
      <c r="C242" s="12" t="inlineStr">
        <is>
          <t xml:space="preserve">%</t>
        </is>
      </c>
    </row>
    <row r="243" ht="20" customHeight="1">
      <c r="A243" s="12" t="inlineStr">
        <is>
          <r>
            <rPr>
              <sz val="12"/>
              <rFont val="KaiTi"/>
              <family val="2"/>
            </rPr>
            <t xml:space="preserve">储能与动力电池毛利率差</t>
          </r>
        </is>
      </c>
      <c r="B243" s="25">
        <v>2.870000000000001</v>
      </c>
      <c r="C243" s="12" t="inlineStr">
        <is>
          <t xml:space="preserve">pp</t>
        </is>
      </c>
    </row>
    <row r="244" ht="20" customHeight="1">
      <c r="A244" s="12" t="inlineStr">
        <is>
          <r>
            <rPr>
              <sz val="12"/>
              <rFont val="KaiTi"/>
              <family val="2"/>
            </rPr>
            <t xml:space="preserve">境外与境内毛利率差</t>
          </r>
        </is>
      </c>
      <c r="B244" s="25">
        <v>7.440000000000001</v>
      </c>
      <c r="C244" s="12" t="inlineStr">
        <is>
          <t xml:space="preserve">pp</t>
        </is>
      </c>
    </row>
    <row r="245" ht="20" customHeight="1">
      <c r="A245" s="12" t="inlineStr">
        <is>
          <r>
            <rPr>
              <sz val="12"/>
              <rFont val="KaiTi"/>
              <family val="2"/>
            </rPr>
            <t xml:space="preserve">动力电池收入占比变动</t>
          </r>
        </is>
      </c>
      <c r="B245" s="25">
        <v>4.799999999999997</v>
      </c>
      <c r="C245" s="12" t="inlineStr">
        <is>
          <t xml:space="preserve">pp</t>
        </is>
      </c>
    </row>
    <row r="246" ht="20" customHeight="1">
      <c r="A246" s="12" t="inlineStr">
        <is>
          <r>
            <rPr>
              <sz val="12"/>
              <rFont val="KaiTi"/>
              <family val="2"/>
            </rPr>
            <t xml:space="preserve">储能电池收入占比变动</t>
          </r>
        </is>
      </c>
      <c r="B246" s="25">
        <v>-1.0899999999999999</v>
      </c>
      <c r="C246" s="12" t="inlineStr">
        <is>
          <t xml:space="preserve">pp</t>
        </is>
      </c>
    </row>
    <row r="247" ht="20" customHeight="1">
      <c r="A247" s="12" t="inlineStr">
        <is>
          <r>
            <rPr>
              <sz val="12"/>
              <rFont val="KaiTi"/>
              <family val="2"/>
            </rPr>
            <t xml:space="preserve">动力电池收入增量</t>
          </r>
        </is>
      </c>
      <c r="B247" s="25">
        <v>63465032000.0</v>
      </c>
      <c r="C247" s="12" t="inlineStr">
        <is>
          <r>
            <rPr>
              <sz val="12"/>
              <rFont val="KaiTi"/>
              <family val="2"/>
            </rPr>
            <t xml:space="preserve">元</t>
          </r>
        </is>
      </c>
    </row>
    <row r="248" ht="20" customHeight="1">
      <c r="A248" s="12" t="inlineStr">
        <is>
          <r>
            <rPr>
              <sz val="12"/>
              <rFont val="KaiTi"/>
              <family val="2"/>
            </rPr>
            <t xml:space="preserve">储能电池收入增量</t>
          </r>
        </is>
      </c>
      <c r="B248" s="25">
        <v>5149360000.0</v>
      </c>
      <c r="C248" s="12" t="inlineStr">
        <is>
          <r>
            <rPr>
              <sz val="12"/>
              <rFont val="KaiTi"/>
              <family val="2"/>
            </rPr>
            <t xml:space="preserve">元</t>
          </r>
        </is>
      </c>
    </row>
    <row r="249" ht="20" customHeight="1">
      <c r="A249" s="12" t="inlineStr">
        <is>
          <r>
            <rPr>
              <sz val="12"/>
              <rFont val="KaiTi"/>
              <family val="2"/>
            </rPr>
            <t xml:space="preserve">营业收入增量</t>
          </r>
        </is>
      </c>
      <c r="B249" s="25">
        <v>61689280000.0</v>
      </c>
      <c r="C249" s="12" t="inlineStr">
        <is>
          <r>
            <rPr>
              <sz val="12"/>
              <rFont val="KaiTi"/>
              <family val="2"/>
            </rPr>
            <t xml:space="preserve">元</t>
          </r>
        </is>
      </c>
    </row>
    <row r="250" ht="20" customHeight="1">
      <c r="A250" s="12" t="inlineStr">
        <is>
          <r>
            <rPr>
              <sz val="12"/>
              <rFont val="KaiTi"/>
              <family val="2"/>
            </rPr>
            <t xml:space="preserve">动力电池贡献收入增量比例</t>
          </r>
        </is>
      </c>
      <c r="B250" s="28">
        <v>1.0287854226860809</v>
      </c>
      <c r="C250" s="12" t="inlineStr">
        <is>
          <t xml:space="preserve">%</t>
        </is>
      </c>
    </row>
    <row r="251" ht="20" customHeight="1">
      <c r="A251" s="12" t="inlineStr">
        <is>
          <r>
            <rPr>
              <sz val="12"/>
              <rFont val="KaiTi"/>
              <family val="2"/>
            </rPr>
            <t xml:space="preserve">境外收入增量</t>
          </r>
        </is>
      </c>
      <c r="B251" s="25">
        <v>19305749000.0</v>
      </c>
      <c r="C251" s="12" t="inlineStr">
        <is>
          <r>
            <rPr>
              <sz val="12"/>
              <rFont val="KaiTi"/>
              <family val="2"/>
            </rPr>
            <t xml:space="preserve">元</t>
          </r>
        </is>
      </c>
    </row>
    <row r="252" ht="20" customHeight="1">
      <c r="A252" s="12" t="inlineStr">
        <is>
          <r>
            <rPr>
              <sz val="12"/>
              <rFont val="KaiTi"/>
              <family val="2"/>
            </rPr>
            <t xml:space="preserve">电池产销率</t>
          </r>
        </is>
      </c>
      <c r="B252" s="13">
        <f>B38/B39</f>
        <v>0.8836898395721924</v>
      </c>
      <c r="C252" s="12" t="inlineStr">
        <is>
          <t xml:space="preserve">%</t>
        </is>
      </c>
    </row>
    <row r="253" ht="20" customHeight="1">
      <c r="A253" s="12" t="inlineStr">
        <is>
          <r>
            <rPr>
              <sz val="12"/>
              <rFont val="KaiTi"/>
              <family val="2"/>
            </rPr>
            <t xml:space="preserve">电池产销率（上期）</t>
          </r>
        </is>
      </c>
      <c r="B253" s="13">
        <f>C38/C39</f>
        <v>0.9205426356589147</v>
      </c>
      <c r="C253" s="12" t="inlineStr">
        <is>
          <t xml:space="preserve">%</t>
        </is>
      </c>
    </row>
    <row r="254" ht="20" customHeight="1">
      <c r="A254" s="12" t="inlineStr">
        <is>
          <r>
            <rPr>
              <sz val="12"/>
              <rFont val="KaiTi"/>
              <family val="2"/>
            </rPr>
            <t xml:space="preserve">电池库存量与销量之比</t>
          </r>
        </is>
      </c>
      <c r="B254" s="13">
        <f>B40/B38</f>
        <v>0.2813918305597579</v>
      </c>
      <c r="C254" s="12" t="inlineStr">
        <is>
          <t xml:space="preserve">%</t>
        </is>
      </c>
    </row>
    <row r="255" ht="20" customHeight="1">
      <c r="A255" s="12" t="inlineStr">
        <is>
          <r>
            <rPr>
              <sz val="12"/>
              <rFont val="KaiTi"/>
              <family val="2"/>
            </rPr>
            <t xml:space="preserve">电池库存量与销量之比（上期）</t>
          </r>
        </is>
      </c>
      <c r="B255" s="13">
        <f>C40/C38</f>
        <v>0.2231578947368421</v>
      </c>
      <c r="C255" s="12" t="inlineStr">
        <is>
          <t xml:space="preserve">%</t>
        </is>
      </c>
    </row>
    <row r="256" ht="20" customHeight="1">
      <c r="A256" s="12" t="inlineStr">
        <is>
          <r>
            <rPr>
              <sz val="12"/>
              <rFont val="KaiTi"/>
              <family val="2"/>
            </rPr>
            <t xml:space="preserve">在建产能与现有产能之比</t>
          </r>
        </is>
      </c>
      <c r="B256" s="13">
        <f>C43/B43</f>
        <v>0.4158031088082901</v>
      </c>
      <c r="C256" s="12" t="inlineStr">
        <is>
          <t xml:space="preserve">%</t>
        </is>
      </c>
    </row>
    <row r="257" ht="20" customHeight="1">
      <c r="A257" s="12" t="inlineStr">
        <is>
          <r>
            <rPr>
              <sz val="12"/>
              <rFont val="KaiTi"/>
              <family val="2"/>
            </rPr>
            <t xml:space="preserve">直接材料占主营成本比例变动</t>
          </r>
        </is>
      </c>
      <c r="B257" s="25">
        <v>-4.689999999999998</v>
      </c>
      <c r="C257" s="12" t="inlineStr">
        <is>
          <t xml:space="preserve">pp</t>
        </is>
      </c>
    </row>
    <row r="258" ht="20" customHeight="1">
      <c r="A258" s="12" t="inlineStr">
        <is>
          <r>
            <rPr>
              <sz val="12"/>
              <rFont val="KaiTi"/>
              <family val="2"/>
            </rPr>
            <t xml:space="preserve">直接材料同比</t>
          </r>
        </is>
      </c>
      <c r="B258" s="13">
        <f>B64/D64</f>
        <v>0.09090723526898437</v>
      </c>
      <c r="C258" s="12" t="inlineStr">
        <is>
          <t xml:space="preserve">%</t>
        </is>
      </c>
    </row>
    <row r="259" ht="20" customHeight="1">
      <c r="A259" s="12" t="inlineStr">
        <is>
          <r>
            <rPr>
              <sz val="12"/>
              <rFont val="KaiTi"/>
              <family val="2"/>
            </rPr>
            <t xml:space="preserve">主营业务毛利（本期）</t>
          </r>
        </is>
      </c>
      <c r="B259" s="25">
        <v>98751724000.0</v>
      </c>
      <c r="C259" s="12" t="inlineStr">
        <is>
          <r>
            <rPr>
              <sz val="12"/>
              <rFont val="KaiTi"/>
              <family val="2"/>
            </rPr>
            <t xml:space="preserve">元</t>
          </r>
        </is>
      </c>
    </row>
    <row r="260" ht="20" customHeight="1">
      <c r="A260" s="12" t="inlineStr">
        <is>
          <r>
            <rPr>
              <sz val="12"/>
              <rFont val="KaiTi"/>
              <family val="2"/>
            </rPr>
            <t xml:space="preserve">主营业务毛利率</t>
          </r>
        </is>
      </c>
      <c r="B260" s="28">
        <v>0.2427613361037978</v>
      </c>
      <c r="C260" s="12" t="inlineStr">
        <is>
          <t xml:space="preserve">%</t>
        </is>
      </c>
    </row>
    <row r="261" ht="20" customHeight="1">
      <c r="A261" s="12" t="inlineStr">
        <is>
          <r>
            <rPr>
              <sz val="12"/>
              <rFont val="KaiTi"/>
              <family val="2"/>
            </rPr>
            <t xml:space="preserve">主营业务毛利（上期）</t>
          </r>
        </is>
      </c>
      <c r="B261" s="25">
        <v>79441922000.0</v>
      </c>
      <c r="C261" s="12" t="inlineStr">
        <is>
          <r>
            <rPr>
              <sz val="12"/>
              <rFont val="KaiTi"/>
              <family val="2"/>
            </rPr>
            <t xml:space="preserve">元</t>
          </r>
        </is>
      </c>
    </row>
    <row r="262" ht="20" customHeight="1">
      <c r="A262" s="12" t="inlineStr">
        <is>
          <r>
            <rPr>
              <sz val="12"/>
              <rFont val="KaiTi"/>
              <family val="2"/>
            </rPr>
            <t xml:space="preserve">主营业务毛利率（上期）</t>
          </r>
        </is>
      </c>
      <c r="B262" s="28">
        <v>0.23058408854156723</v>
      </c>
      <c r="C262" s="12" t="inlineStr">
        <is>
          <t xml:space="preserve">%</t>
        </is>
      </c>
    </row>
    <row r="263" ht="20" customHeight="1">
      <c r="A263" s="12" t="inlineStr">
        <is>
          <r>
            <rPr>
              <sz val="12"/>
              <rFont val="KaiTi"/>
              <family val="2"/>
            </rPr>
            <t xml:space="preserve">主营业务毛利率变动</t>
          </r>
        </is>
      </c>
      <c r="B263" s="25">
        <v>1.2177247562230562</v>
      </c>
      <c r="C263" s="12" t="inlineStr">
        <is>
          <t xml:space="preserve">pp</t>
        </is>
      </c>
    </row>
    <row r="264" ht="20" customHeight="1">
      <c r="A264" s="12" t="inlineStr">
        <is>
          <r>
            <rPr>
              <sz val="12"/>
              <rFont val="KaiTi"/>
              <family val="2"/>
            </rPr>
            <t xml:space="preserve">其他业务毛利（本期）</t>
          </r>
        </is>
      </c>
      <c r="B264" s="25">
        <v>12566813000.0</v>
      </c>
      <c r="C264" s="12" t="inlineStr">
        <is>
          <r>
            <rPr>
              <sz val="12"/>
              <rFont val="KaiTi"/>
              <family val="2"/>
            </rPr>
            <t xml:space="preserve">元</t>
          </r>
        </is>
      </c>
    </row>
    <row r="265" ht="20" customHeight="1">
      <c r="A265" s="12" t="inlineStr">
        <is>
          <r>
            <rPr>
              <sz val="12"/>
              <rFont val="KaiTi"/>
              <family val="2"/>
            </rPr>
            <t xml:space="preserve">其他业务毛利率（本期）</t>
          </r>
        </is>
      </c>
      <c r="B265" s="28">
        <v>0.7428681937021432</v>
      </c>
      <c r="C265" s="12" t="inlineStr">
        <is>
          <t xml:space="preserve">%</t>
        </is>
      </c>
    </row>
    <row r="266" ht="20" customHeight="1">
      <c r="A266" s="12" t="inlineStr">
        <is>
          <r>
            <rPr>
              <sz val="12"/>
              <rFont val="KaiTi"/>
              <family val="2"/>
            </rPr>
            <t xml:space="preserve">其他业务毛利（上期）</t>
          </r>
        </is>
      </c>
      <c r="B266" s="25">
        <v>9051672000.0</v>
      </c>
      <c r="C266" s="12" t="inlineStr">
        <is>
          <r>
            <rPr>
              <sz val="12"/>
              <rFont val="KaiTi"/>
              <family val="2"/>
            </rPr>
            <t xml:space="preserve">元</t>
          </r>
        </is>
      </c>
    </row>
    <row r="267" ht="20" customHeight="1">
      <c r="A267" s="12" t="inlineStr">
        <is>
          <r>
            <rPr>
              <sz val="12"/>
              <rFont val="KaiTi"/>
              <family val="2"/>
            </rPr>
            <t xml:space="preserve">其他业务毛利率（上期）</t>
          </r>
        </is>
      </c>
      <c r="B267" s="28">
        <v>0.517598707854805</v>
      </c>
      <c r="C267" s="12" t="inlineStr">
        <is>
          <t xml:space="preserve">%</t>
        </is>
      </c>
    </row>
    <row r="268" ht="20" customHeight="1">
      <c r="A268" s="12" t="inlineStr">
        <is>
          <r>
            <rPr>
              <sz val="12"/>
              <rFont val="KaiTi"/>
              <family val="2"/>
            </rPr>
            <t xml:space="preserve">研发职工薪酬同比</t>
          </r>
        </is>
      </c>
      <c r="B268" s="13">
        <f>B86/C86</f>
        <v>0.1139394574214565</v>
      </c>
      <c r="C268" s="12" t="inlineStr">
        <is>
          <t xml:space="preserve">%</t>
        </is>
      </c>
    </row>
    <row r="269" ht="20" customHeight="1">
      <c r="A269" s="12" t="inlineStr">
        <is>
          <r>
            <rPr>
              <sz val="12"/>
              <rFont val="KaiTi"/>
              <family val="2"/>
            </rPr>
            <t xml:space="preserve">研发材料费同比</t>
          </r>
        </is>
      </c>
      <c r="B269" s="13">
        <f>B87/C87</f>
        <v>0.23652875012873764</v>
      </c>
      <c r="C269" s="12" t="inlineStr">
        <is>
          <t xml:space="preserve">%</t>
        </is>
      </c>
    </row>
    <row r="270" ht="20" customHeight="1">
      <c r="A270" s="12" t="inlineStr">
        <is>
          <r>
            <rPr>
              <sz val="12"/>
              <rFont val="KaiTi"/>
              <family val="2"/>
            </rPr>
            <t xml:space="preserve">研发人员数量同比</t>
          </r>
        </is>
      </c>
      <c r="B270" s="13">
        <f>B98/C98</f>
        <v>0.12557750909269627</v>
      </c>
      <c r="C270" s="12" t="inlineStr">
        <is>
          <t xml:space="preserve">%</t>
        </is>
      </c>
    </row>
    <row r="271" ht="20" customHeight="1">
      <c r="A271" s="12" t="inlineStr">
        <is>
          <r>
            <rPr>
              <sz val="12"/>
              <rFont val="KaiTi"/>
              <family val="2"/>
            </rPr>
            <t xml:space="preserve">管理费用职工薪酬同比</t>
          </r>
        </is>
      </c>
      <c r="B271" s="13">
        <f>B79/C79</f>
        <v>0.4076872564750731</v>
      </c>
      <c r="C271" s="12" t="inlineStr">
        <is>
          <t xml:space="preserve">%</t>
        </is>
      </c>
    </row>
    <row r="272" ht="20" customHeight="1">
      <c r="A272" s="12" t="inlineStr">
        <is>
          <r>
            <rPr>
              <sz val="12"/>
              <rFont val="KaiTi"/>
              <family val="2"/>
            </rPr>
            <t xml:space="preserve">利息收入同比</t>
          </r>
        </is>
      </c>
      <c r="B272" s="13">
        <f>B93/C93</f>
        <v>0.11487533880101196</v>
      </c>
      <c r="C272" s="12" t="inlineStr">
        <is>
          <t xml:space="preserve">%</t>
        </is>
      </c>
    </row>
    <row r="273" ht="20" customHeight="1">
      <c r="A273" s="12" t="inlineStr">
        <is>
          <r>
            <rPr>
              <sz val="12"/>
              <rFont val="KaiTi"/>
              <family val="2"/>
            </rPr>
            <t xml:space="preserve">利息支出同比</t>
          </r>
        </is>
      </c>
      <c r="B273" s="13">
        <f>B92/C92</f>
        <v>-0.3039976997897901</v>
      </c>
      <c r="C273" s="12" t="inlineStr">
        <is>
          <t xml:space="preserve">%</t>
        </is>
      </c>
    </row>
    <row r="274" ht="20" customHeight="1">
      <c r="A274" s="12" t="inlineStr">
        <is>
          <r>
            <rPr>
              <sz val="12"/>
              <rFont val="KaiTi"/>
              <family val="2"/>
            </rPr>
            <t xml:space="preserve">财务费用变动额</t>
          </r>
        </is>
      </c>
      <c r="B274" s="25">
        <v>-3807945000.0</v>
      </c>
      <c r="C274" s="12" t="inlineStr">
        <is>
          <r>
            <rPr>
              <sz val="12"/>
              <rFont val="KaiTi"/>
              <family val="2"/>
            </rPr>
            <t xml:space="preserve">元</t>
          </r>
        </is>
      </c>
    </row>
    <row r="275" ht="20" customHeight="1">
      <c r="A275" s="12" t="inlineStr">
        <is>
          <r>
            <rPr>
              <sz val="12"/>
              <rFont val="KaiTi"/>
              <family val="2"/>
            </rPr>
            <t xml:space="preserve">投资收益同比</t>
          </r>
        </is>
      </c>
      <c r="B275" s="13">
        <f>B119/C119</f>
        <v>0.9987226113094789</v>
      </c>
      <c r="C275" s="12" t="inlineStr">
        <is>
          <t xml:space="preserve">%</t>
        </is>
      </c>
    </row>
    <row r="276" ht="20" customHeight="1">
      <c r="A276" s="12" t="inlineStr">
        <is>
          <r>
            <rPr>
              <sz val="12"/>
              <rFont val="KaiTi"/>
              <family val="2"/>
            </rPr>
            <t xml:space="preserve">联营合营企业投资收益同比</t>
          </r>
        </is>
      </c>
      <c r="B276" s="13">
        <f>B117/C117</f>
        <v>0.9644743310250492</v>
      </c>
      <c r="C276" s="12" t="inlineStr">
        <is>
          <t xml:space="preserve">%</t>
        </is>
      </c>
    </row>
    <row r="277" ht="20" customHeight="1">
      <c r="A277" s="12" t="inlineStr">
        <is>
          <r>
            <rPr>
              <sz val="12"/>
              <rFont val="KaiTi"/>
              <family val="2"/>
            </rPr>
            <t xml:space="preserve">其他收益占利润总额比例</t>
          </r>
        </is>
      </c>
      <c r="B277" s="28">
        <v>0.11840596551559093</v>
      </c>
      <c r="C277" s="12" t="inlineStr">
        <is>
          <t xml:space="preserve">%</t>
        </is>
      </c>
    </row>
    <row r="278" ht="20" customHeight="1">
      <c r="A278" s="12" t="inlineStr">
        <is>
          <r>
            <rPr>
              <sz val="12"/>
              <rFont val="KaiTi"/>
              <family val="2"/>
            </rPr>
            <t xml:space="preserve">投资收益占利润总额比例</t>
          </r>
        </is>
      </c>
      <c r="B278" s="28">
        <v>0.08903004131344508</v>
      </c>
      <c r="C278" s="12" t="inlineStr">
        <is>
          <t xml:space="preserve">%</t>
        </is>
      </c>
    </row>
    <row r="279" ht="20" customHeight="1">
      <c r="A279" s="12" t="inlineStr">
        <is>
          <r>
            <rPr>
              <sz val="12"/>
              <rFont val="KaiTi"/>
              <family val="2"/>
            </rPr>
            <t xml:space="preserve">非经常性损益占归母净利润比例</t>
          </r>
        </is>
      </c>
      <c r="B279" s="28">
        <v>0.10655513014298001</v>
      </c>
      <c r="C279" s="12" t="inlineStr">
        <is>
          <t xml:space="preserve">%</t>
        </is>
      </c>
    </row>
    <row r="280" ht="20" customHeight="1">
      <c r="A280" s="12" t="inlineStr">
        <is>
          <r>
            <rPr>
              <sz val="12"/>
              <rFont val="KaiTi"/>
              <family val="2"/>
            </rPr>
            <t xml:space="preserve">资产减值损失占利润总额比例</t>
          </r>
        </is>
      </c>
      <c r="B280" s="28">
        <v>-0.096732918711428</v>
      </c>
      <c r="C280" s="12" t="inlineStr">
        <is>
          <t xml:space="preserve">%</t>
        </is>
      </c>
    </row>
    <row r="281" ht="20" customHeight="1">
      <c r="A281" s="12" t="inlineStr">
        <is>
          <r>
            <rPr>
              <sz val="12"/>
              <rFont val="KaiTi"/>
              <family val="2"/>
            </rPr>
            <t xml:space="preserve">存货跌价损失同比</t>
          </r>
        </is>
      </c>
      <c r="B281" s="13">
        <f>B122/C122</f>
        <v>1.3340615627180386</v>
      </c>
      <c r="C281" s="12" t="inlineStr">
        <is>
          <t xml:space="preserve">%</t>
        </is>
      </c>
    </row>
    <row r="282" ht="20" customHeight="1">
      <c r="A282" s="12" t="inlineStr">
        <is>
          <r>
            <rPr>
              <sz val="12"/>
              <rFont val="KaiTi"/>
              <family val="2"/>
            </rPr>
            <t xml:space="preserve">存货同比</t>
          </r>
        </is>
      </c>
      <c r="B282" s="13">
        <f>B137/C137</f>
        <v>0.5797676440853297</v>
      </c>
      <c r="C282" s="12" t="inlineStr">
        <is>
          <t xml:space="preserve">%</t>
        </is>
      </c>
    </row>
    <row r="283" ht="20" customHeight="1">
      <c r="A283" s="12" t="inlineStr">
        <is>
          <r>
            <rPr>
              <sz val="12"/>
              <rFont val="KaiTi"/>
              <family val="2"/>
            </rPr>
            <t xml:space="preserve">库存商品同比</t>
          </r>
        </is>
      </c>
      <c r="B283" s="13">
        <f>B130/C130</f>
        <v>1.0848502174677424</v>
      </c>
      <c r="C283" s="12" t="inlineStr">
        <is>
          <t xml:space="preserve">%</t>
        </is>
      </c>
    </row>
    <row r="284" ht="20" customHeight="1">
      <c r="A284" s="12" t="inlineStr">
        <is>
          <r>
            <rPr>
              <sz val="12"/>
              <rFont val="KaiTi"/>
              <family val="2"/>
            </rPr>
            <t xml:space="preserve">发出商品同比</t>
          </r>
        </is>
      </c>
      <c r="B284" s="13">
        <f>B131/C131</f>
        <v>0.6240452146756044</v>
      </c>
      <c r="C284" s="12" t="inlineStr">
        <is>
          <t xml:space="preserve">%</t>
        </is>
      </c>
    </row>
    <row r="285" ht="20" customHeight="1">
      <c r="A285" s="12" t="inlineStr">
        <is>
          <r>
            <rPr>
              <sz val="12"/>
              <rFont val="KaiTi"/>
              <family val="2"/>
            </rPr>
            <t xml:space="preserve">发出商品占存货比例</t>
          </r>
        </is>
      </c>
      <c r="B285" s="13">
        <f>B131/B137</f>
        <v>0.4091434019711712</v>
      </c>
      <c r="C285" s="12" t="inlineStr">
        <is>
          <t xml:space="preserve">%</t>
        </is>
      </c>
    </row>
    <row r="286" ht="20" customHeight="1">
      <c r="A286" s="12" t="inlineStr">
        <is>
          <r>
            <rPr>
              <sz val="12"/>
              <rFont val="KaiTi"/>
              <family val="2"/>
            </rPr>
            <t xml:space="preserve">库存商品占存货比例</t>
          </r>
        </is>
      </c>
      <c r="B286" s="13">
        <f>B130/B137</f>
        <v>0.23924185749101898</v>
      </c>
      <c r="C286" s="12" t="inlineStr">
        <is>
          <t xml:space="preserve">%</t>
        </is>
      </c>
    </row>
    <row r="287" ht="20" customHeight="1">
      <c r="A287" s="12" t="inlineStr">
        <is>
          <r>
            <rPr>
              <sz val="12"/>
              <rFont val="KaiTi"/>
              <family val="2"/>
            </rPr>
            <t xml:space="preserve">售后综合服务费同比</t>
          </r>
        </is>
      </c>
      <c r="B287" s="13">
        <f>B143/C143</f>
        <v>0.3113090005905015</v>
      </c>
      <c r="C287" s="12" t="inlineStr">
        <is>
          <t xml:space="preserve">%</t>
        </is>
      </c>
    </row>
    <row r="288" ht="20" customHeight="1">
      <c r="A288" s="12" t="inlineStr">
        <is>
          <r>
            <rPr>
              <sz val="12"/>
              <rFont val="KaiTi"/>
              <family val="2"/>
            </rPr>
            <t xml:space="preserve">售后综合服务费余额与营业收入之比</t>
          </r>
        </is>
      </c>
      <c r="B288" s="28">
        <v>0.1209177678470941</v>
      </c>
      <c r="C288" s="12" t="inlineStr">
        <is>
          <t xml:space="preserve">%</t>
        </is>
      </c>
    </row>
    <row r="289" ht="20" customHeight="1">
      <c r="A289" s="12" t="inlineStr">
        <is>
          <r>
            <rPr>
              <sz val="12"/>
              <rFont val="KaiTi"/>
              <family val="2"/>
            </rPr>
            <t xml:space="preserve">售后综合服务费余额增加额</t>
          </r>
        </is>
      </c>
      <c r="B289" s="25">
        <v>12162899000.0</v>
      </c>
      <c r="C289" s="12" t="inlineStr">
        <is>
          <r>
            <rPr>
              <sz val="12"/>
              <rFont val="KaiTi"/>
              <family val="2"/>
            </rPr>
            <t xml:space="preserve">元</t>
          </r>
        </is>
      </c>
    </row>
    <row r="290" ht="20" customHeight="1">
      <c r="A290" s="12" t="inlineStr">
        <is>
          <r>
            <rPr>
              <sz val="12"/>
              <rFont val="KaiTi"/>
              <family val="2"/>
            </rPr>
            <t xml:space="preserve">合同负债同比</t>
          </r>
        </is>
      </c>
      <c r="B290" s="28">
        <v>0.7687931349522819</v>
      </c>
      <c r="C290" s="12" t="inlineStr">
        <is>
          <t xml:space="preserve">%</t>
        </is>
      </c>
    </row>
    <row r="291" ht="20" customHeight="1">
      <c r="A291" s="12" t="inlineStr">
        <is>
          <r>
            <rPr>
              <sz val="12"/>
              <rFont val="KaiTi"/>
              <family val="2"/>
            </rPr>
            <t xml:space="preserve">合同负债与营业收入之比</t>
          </r>
        </is>
      </c>
      <c r="B291" s="28">
        <v>0.116198168261882</v>
      </c>
      <c r="C291" s="12" t="inlineStr">
        <is>
          <t xml:space="preserve">%</t>
        </is>
      </c>
    </row>
    <row r="292" ht="20" customHeight="1">
      <c r="A292" s="12" t="inlineStr">
        <is>
          <r>
            <rPr>
              <sz val="12"/>
              <rFont val="KaiTi"/>
              <family val="2"/>
            </rPr>
            <t xml:space="preserve">合同负债与营业收入之比（上期）</t>
          </r>
        </is>
      </c>
      <c r="B292" s="28">
        <v>0.07688806836240271</v>
      </c>
      <c r="C292" s="12" t="inlineStr">
        <is>
          <t xml:space="preserve">%</t>
        </is>
      </c>
    </row>
    <row r="293" ht="20" customHeight="1">
      <c r="A293" s="12" t="inlineStr">
        <is>
          <r>
            <rPr>
              <sz val="12"/>
              <rFont val="KaiTi"/>
              <family val="2"/>
            </rPr>
            <t xml:space="preserve">应付票据同比</t>
          </r>
        </is>
      </c>
      <c r="B293" s="13">
        <f>B160/C160</f>
        <v>0.5332933034364122</v>
      </c>
      <c r="C293" s="12" t="inlineStr">
        <is>
          <t xml:space="preserve">%</t>
        </is>
      </c>
    </row>
    <row r="294" ht="20" customHeight="1">
      <c r="A294" s="12" t="inlineStr">
        <is>
          <r>
            <rPr>
              <sz val="12"/>
              <rFont val="KaiTi"/>
              <family val="2"/>
            </rPr>
            <t xml:space="preserve">应付账款同比</t>
          </r>
        </is>
      </c>
      <c r="B294" s="13">
        <f>B161/C161</f>
        <v>0.22409631132721763</v>
      </c>
      <c r="C294" s="12" t="inlineStr">
        <is>
          <t xml:space="preserve">%</t>
        </is>
      </c>
    </row>
    <row r="295" ht="20" customHeight="1">
      <c r="A295" s="12" t="inlineStr">
        <is>
          <r>
            <rPr>
              <sz val="12"/>
              <rFont val="KaiTi"/>
              <family val="2"/>
            </rPr>
            <t xml:space="preserve">应收账款同比</t>
          </r>
        </is>
      </c>
      <c r="B295" s="28">
        <v>0.19127865358831642</v>
      </c>
      <c r="C295" s="12" t="inlineStr">
        <is>
          <t xml:space="preserve">%</t>
        </is>
      </c>
    </row>
    <row r="296" ht="20" customHeight="1">
      <c r="A296" s="12" t="inlineStr">
        <is>
          <r>
            <rPr>
              <sz val="12"/>
              <rFont val="KaiTi"/>
              <family val="2"/>
            </rPr>
            <t xml:space="preserve">境外存放款项同比</t>
          </r>
        </is>
      </c>
      <c r="B296" s="13">
        <f>B168/C168</f>
        <v>1.4927292828126908</v>
      </c>
      <c r="C296" s="12" t="inlineStr">
        <is>
          <t xml:space="preserve">%</t>
        </is>
      </c>
    </row>
    <row r="297" ht="20" customHeight="1">
      <c r="A297" s="12" t="inlineStr">
        <is>
          <r>
            <rPr>
              <sz val="12"/>
              <rFont val="KaiTi"/>
              <family val="2"/>
            </rPr>
            <t xml:space="preserve">境外存放款项占货币资金比例</t>
          </r>
        </is>
      </c>
      <c r="B297" s="13">
        <f>B168/B167</f>
        <v>0.26308198842319536</v>
      </c>
      <c r="C297" s="12" t="inlineStr">
        <is>
          <t xml:space="preserve">%</t>
        </is>
      </c>
    </row>
    <row r="298" ht="20" customHeight="1">
      <c r="A298" s="12" t="inlineStr">
        <is>
          <r>
            <rPr>
              <sz val="12"/>
              <rFont val="KaiTi"/>
              <family val="2"/>
            </rPr>
            <t xml:space="preserve">购建长期资产支付现金同比</t>
          </r>
        </is>
      </c>
      <c r="B298" s="28">
        <v>0.35807041084071267</v>
      </c>
      <c r="C298" s="12" t="inlineStr">
        <is>
          <t xml:space="preserve">%</t>
        </is>
      </c>
    </row>
    <row r="299" ht="20" customHeight="1">
      <c r="A299" s="12" t="inlineStr">
        <is>
          <r>
            <rPr>
              <sz val="12"/>
              <rFont val="KaiTi"/>
              <family val="2"/>
            </rPr>
            <t xml:space="preserve">资本开支占营业收入比例</t>
          </r>
        </is>
      </c>
      <c r="B299" s="28">
        <v>0.09993952020514502</v>
      </c>
      <c r="C299" s="12" t="inlineStr">
        <is>
          <t xml:space="preserve">%</t>
        </is>
      </c>
    </row>
    <row r="300" ht="20" customHeight="1">
      <c r="A300" s="12" t="inlineStr">
        <is>
          <r>
            <rPr>
              <sz val="12"/>
              <rFont val="KaiTi"/>
              <family val="2"/>
            </rPr>
            <t xml:space="preserve">资本开支与折旧摊销之比</t>
          </r>
        </is>
      </c>
      <c r="B300" s="25">
        <v>1.7409423593849058</v>
      </c>
      <c r="C300" s="12" t="inlineStr">
        <is>
          <r>
            <rPr>
              <sz val="12"/>
              <rFont val="KaiTi"/>
              <family val="2"/>
            </rPr>
            <t xml:space="preserve">倍</t>
          </r>
        </is>
      </c>
    </row>
    <row r="301" ht="20" customHeight="1">
      <c r="A301" s="12" t="inlineStr">
        <is>
          <r>
            <rPr>
              <sz val="12"/>
              <rFont val="KaiTi"/>
              <family val="2"/>
            </rPr>
            <t xml:space="preserve">经营现金流减资本开支</t>
          </r>
        </is>
      </c>
      <c r="B301" s="25">
        <v>90875424000.0</v>
      </c>
      <c r="C301" s="12" t="inlineStr">
        <is>
          <r>
            <rPr>
              <sz val="12"/>
              <rFont val="KaiTi"/>
              <family val="2"/>
            </rPr>
            <t xml:space="preserve">元</t>
          </r>
        </is>
      </c>
    </row>
    <row r="302" ht="20" customHeight="1">
      <c r="A302" s="12" t="inlineStr">
        <is>
          <r>
            <rPr>
              <sz val="12"/>
              <rFont val="KaiTi"/>
              <family val="2"/>
            </rPr>
            <t xml:space="preserve">经营现金流减资本开支（上期）</t>
          </r>
        </is>
      </c>
      <c r="B302" s="25">
        <v>65810402000.0</v>
      </c>
      <c r="C302" s="12" t="inlineStr">
        <is>
          <r>
            <rPr>
              <sz val="12"/>
              <rFont val="KaiTi"/>
              <family val="2"/>
            </rPr>
            <t xml:space="preserve">元</t>
          </r>
        </is>
      </c>
    </row>
    <row r="303" ht="20" customHeight="1">
      <c r="A303" s="12" t="inlineStr">
        <is>
          <r>
            <rPr>
              <sz val="12"/>
              <rFont val="Arial"/>
              <family val="2"/>
            </rPr>
            <t xml:space="preserve">2025 </t>
          </r>
          <r>
            <rPr>
              <sz val="12"/>
              <rFont val="KaiTi"/>
              <family val="2"/>
            </rPr>
            <t xml:space="preserve">年度现金分红率</t>
          </r>
        </is>
      </c>
      <c r="B303" s="28">
        <v>0.49999999839227227</v>
      </c>
      <c r="C303" s="12" t="inlineStr">
        <is>
          <t xml:space="preserve">%</t>
        </is>
      </c>
    </row>
    <row r="304" ht="20" customHeight="1">
      <c r="A304" s="12" t="inlineStr">
        <is>
          <r>
            <rPr>
              <sz val="12"/>
              <rFont val="KaiTi"/>
              <family val="2"/>
            </rPr>
            <t xml:space="preserve">含回购的现金分红总额占归母净利润比例</t>
          </r>
        </is>
      </c>
      <c r="B304" s="28">
        <v>0.560739982038269</v>
      </c>
      <c r="C304" s="12" t="inlineStr">
        <is>
          <t xml:space="preserve">%</t>
        </is>
      </c>
    </row>
    <row r="305" ht="20" customHeight="1">
      <c r="A305" s="12" t="inlineStr">
        <is>
          <r>
            <rPr>
              <sz val="12"/>
              <rFont val="KaiTi"/>
              <family val="2"/>
            </rPr>
            <t xml:space="preserve">第二季度营业收入环比</t>
          </r>
        </is>
      </c>
      <c r="B305" s="28">
        <v>0.11188384374310578</v>
      </c>
      <c r="C305" s="12" t="inlineStr">
        <is>
          <t xml:space="preserve">%</t>
        </is>
      </c>
    </row>
    <row r="306" ht="20" customHeight="1">
      <c r="A306" s="12" t="inlineStr">
        <is>
          <r>
            <rPr>
              <sz val="12"/>
              <rFont val="KaiTi"/>
              <family val="2"/>
            </rPr>
            <t xml:space="preserve">第三季度营业收入环比</t>
          </r>
        </is>
      </c>
      <c r="B306" s="28">
        <v>0.10622099435406017</v>
      </c>
      <c r="C306" s="12" t="inlineStr">
        <is>
          <t xml:space="preserve">%</t>
        </is>
      </c>
    </row>
    <row r="307" ht="20" customHeight="1">
      <c r="A307" s="12" t="inlineStr">
        <is>
          <r>
            <rPr>
              <sz val="12"/>
              <rFont val="KaiTi"/>
              <family val="2"/>
            </rPr>
            <t xml:space="preserve">第四季度营业收入环比</t>
          </r>
        </is>
      </c>
      <c r="B307" s="28">
        <v>0.34979945526899114</v>
      </c>
      <c r="C307" s="12" t="inlineStr">
        <is>
          <t xml:space="preserve">%</t>
        </is>
      </c>
    </row>
    <row r="308" ht="20" customHeight="1">
      <c r="A308" s="12" t="inlineStr">
        <is>
          <r>
            <rPr>
              <sz val="12"/>
              <rFont val="KaiTi"/>
              <family val="2"/>
            </rPr>
            <t xml:space="preserve">第四季度归母净利润环比</t>
          </r>
        </is>
      </c>
      <c r="B308" s="28">
        <v>0.2489735548658496</v>
      </c>
      <c r="C308" s="12" t="inlineStr">
        <is>
          <t xml:space="preserve">%</t>
        </is>
      </c>
    </row>
    <row r="309" ht="20" customHeight="1">
      <c r="A309" s="12" t="inlineStr">
        <is>
          <r>
            <rPr>
              <sz val="12"/>
              <rFont val="KaiTi"/>
              <family val="2"/>
            </rPr>
            <t xml:space="preserve">第四季度收入占全年比例</t>
          </r>
        </is>
      </c>
      <c r="B309" s="28">
        <v>0.33190757205927035</v>
      </c>
      <c r="C309" s="12" t="inlineStr">
        <is>
          <t xml:space="preserve">%</t>
        </is>
      </c>
    </row>
    <row r="310" ht="20" customHeight="1">
      <c r="A310" s="12" t="inlineStr">
        <is>
          <r>
            <rPr>
              <sz val="12"/>
              <rFont val="KaiTi"/>
              <family val="2"/>
            </rPr>
            <t xml:space="preserve">第一季度收入占全年比例</t>
          </r>
        </is>
      </c>
      <c r="B310" s="28">
        <v>0.1999155590154939</v>
      </c>
      <c r="C310" s="12" t="inlineStr">
        <is>
          <t xml:space="preserve">%</t>
        </is>
      </c>
    </row>
    <row r="311" ht="20" customHeight="1">
      <c r="A311" s="12" t="inlineStr">
        <is>
          <r>
            <rPr>
              <sz val="12"/>
              <rFont val="KaiTi"/>
              <family val="2"/>
            </rPr>
            <t xml:space="preserve">第四季度经营现金流占全年比例</t>
          </r>
        </is>
      </c>
      <c r="B311" s="28">
        <v>0.3945320455005016</v>
      </c>
      <c r="C311" s="12" t="inlineStr">
        <is>
          <t xml:space="preserve">%</t>
        </is>
      </c>
    </row>
    <row r="312" ht="20" customHeight="1">
      <c r="A312" s="12" t="inlineStr">
        <is>
          <r>
            <rPr>
              <sz val="12"/>
              <rFont val="Arial"/>
              <family val="2"/>
            </rPr>
            <t xml:space="preserve">2024</t>
          </r>
          <r>
            <rPr>
              <sz val="12"/>
              <rFont val="KaiTi"/>
              <family val="2"/>
            </rPr>
            <t xml:space="preserve">年经营现金流同比</t>
          </r>
        </is>
      </c>
      <c r="B312" s="28">
        <v>0.044860442519392585</v>
      </c>
      <c r="C312" s="12" t="inlineStr">
        <is>
          <t xml:space="preserve">%</t>
        </is>
      </c>
    </row>
    <row r="313" ht="20" customHeight="1">
      <c r="A313" s="12" t="inlineStr">
        <is>
          <r>
            <rPr>
              <sz val="12"/>
              <rFont val="Arial"/>
              <family val="2"/>
            </rPr>
            <t xml:space="preserve">2024</t>
          </r>
          <r>
            <rPr>
              <sz val="12"/>
              <rFont val="KaiTi"/>
              <family val="2"/>
            </rPr>
            <t xml:space="preserve">年营业收入同比</t>
          </r>
        </is>
      </c>
      <c r="B313" s="28">
        <v>-0.09703875523675976</v>
      </c>
      <c r="C313" s="12" t="inlineStr">
        <is>
          <t xml:space="preserve">%</t>
        </is>
      </c>
    </row>
    <row r="314" ht="20" customHeight="1">
      <c r="A314" s="12" t="inlineStr">
        <is>
          <r>
            <rPr>
              <sz val="12"/>
              <rFont val="Arial"/>
              <family val="2"/>
            </rPr>
            <t xml:space="preserve">2024</t>
          </r>
          <r>
            <rPr>
              <sz val="12"/>
              <rFont val="KaiTi"/>
              <family val="2"/>
            </rPr>
            <t xml:space="preserve">年归母净利润同比</t>
          </r>
        </is>
      </c>
      <c r="B314" s="28">
        <v>0.1501189177604405</v>
      </c>
      <c r="C314" s="12" t="inlineStr">
        <is>
          <t xml:space="preserve">%</t>
        </is>
      </c>
    </row>
    <row r="315" ht="20" customHeight="1">
      <c r="A315" s="12" t="inlineStr">
        <is>
          <r>
            <rPr>
              <sz val="12"/>
              <rFont val="KaiTi"/>
              <family val="2"/>
            </rPr>
            <t xml:space="preserve">生产人员占比</t>
          </r>
        </is>
      </c>
      <c r="B315" s="13">
        <f>B105/B110</f>
        <v>0.7833016751058711</v>
      </c>
      <c r="C315" s="12" t="inlineStr">
        <is>
          <t xml:space="preserve">%</t>
        </is>
      </c>
    </row>
    <row r="316" ht="20" customHeight="1">
      <c r="A316" s="12" t="inlineStr">
        <is>
          <r>
            <rPr>
              <sz val="12"/>
              <rFont val="KaiTi"/>
              <family val="2"/>
            </rPr>
            <t xml:space="preserve">技术人员占比</t>
          </r>
        </is>
      </c>
      <c r="B316" s="13">
        <f>B107/B110</f>
        <v>0.12323032302154015</v>
      </c>
      <c r="C316" s="12" t="inlineStr">
        <is>
          <t xml:space="preserve">%</t>
        </is>
      </c>
    </row>
    <row r="317" ht="20" customHeight="1">
      <c r="A317" s="12" t="inlineStr">
        <is>
          <r>
            <rPr>
              <sz val="12"/>
              <rFont val="KaiTi"/>
              <family val="2"/>
            </rPr>
            <t xml:space="preserve">电池材料及回收收入同比</t>
          </r>
        </is>
      </c>
      <c r="B317" s="13">
        <f>B23/D23</f>
        <v>-0.23829318777202801</v>
      </c>
      <c r="C317" s="12" t="inlineStr">
        <is>
          <t xml:space="preserve">%</t>
        </is>
      </c>
    </row>
  </sheetData>
  <pageMargins left="0.5" right="0.5" top="0.6" bottom="0.6" header="0.3" footer="0.3"/>
  <pageSetup paperSize="9" orientation="landscape" fitToWidth="1" fitToHeight="0"/>
</worksheet>
</file>

<file path=xl/worksheets/sheet15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12.0" customWidth="1"/>
    <col min="2" max="2" width="10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模型检查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硬性失败会使模型状态变为 </t>
          </r>
          <r>
            <rPr>
              <i/>
              <sz val="9"/>
              <color rgb="FF595959"/>
              <rFont val="Arial"/>
              <family val="2"/>
            </rPr>
            <t xml:space="preserve">blocked</t>
          </r>
          <r>
            <rPr>
              <i/>
              <sz val="9"/>
              <color rgb="FF595959"/>
              <rFont val="KaiTi"/>
              <family val="2"/>
            </rPr>
            <t xml:space="preserve">；警示需在报告中说明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类型</t>
          </r>
        </is>
      </c>
      <c r="B4" s="4" t="inlineStr">
        <is>
          <r>
            <rPr>
              <b/>
              <sz val="12"/>
              <color rgb="FFFFFFFF"/>
              <rFont val="KaiTi"/>
              <family val="2"/>
            </rPr>
            <t xml:space="preserve">内容</t>
          </r>
        </is>
      </c>
    </row>
    <row r="5">
      <c r="A5" s="12" t="inlineStr">
        <is>
          <r>
            <rPr>
              <sz val="12"/>
              <rFont val="KaiTi"/>
              <family val="2"/>
            </rPr>
            <t xml:space="preserve">警示</t>
          </r>
        </is>
      </c>
      <c r="B5" s="18" t="inlineStr">
        <is>
          <r>
            <rPr>
              <sz val="12"/>
              <rFont val="KaiTi"/>
              <family val="2"/>
            </rPr>
            <t xml:space="preserve">终值占企业价值 </t>
          </r>
          <r>
            <rPr>
              <sz val="12"/>
              <rFont val="Arial"/>
              <family val="2"/>
            </rPr>
            <t xml:space="preserve">79.1%</t>
          </r>
          <r>
            <rPr>
              <sz val="12"/>
              <rFont val="KaiTi"/>
              <family val="2"/>
            </rPr>
            <t xml:space="preserve">，结论高度依赖终值假设，需重点复核 </t>
          </r>
          <r>
            <rPr>
              <sz val="12"/>
              <rFont val="Arial"/>
              <family val="2"/>
            </rPr>
            <t xml:space="preserve">WACC </t>
          </r>
          <r>
            <rPr>
              <sz val="12"/>
              <rFont val="KaiTi"/>
              <family val="2"/>
            </rPr>
            <t xml:space="preserve">与永续增长率</t>
          </r>
        </is>
      </c>
    </row>
    <row r="6">
      <c r="A6" s="12" t="inlineStr">
        <is>
          <r>
            <rPr>
              <sz val="12"/>
              <rFont val="KaiTi"/>
              <family val="2"/>
            </rPr>
            <t xml:space="preserve">警示</t>
          </r>
        </is>
      </c>
      <c r="B6" s="18" t="inlineStr">
        <is>
          <r>
            <rPr>
              <sz val="12"/>
              <rFont val="KaiTi"/>
              <family val="2"/>
            </rPr>
            <t xml:space="preserve">以下关键输入依赖分析师假设：</t>
          </r>
          <r>
            <rPr>
              <sz val="12"/>
              <rFont val="Arial"/>
              <family val="2"/>
            </rPr>
            <t xml:space="preserve">forecast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terminal_value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wacc</t>
          </r>
        </is>
      </c>
    </row>
    <row r="7">
      <c r="A7" s="12" t="inlineStr">
        <is>
          <r>
            <rPr>
              <sz val="12"/>
              <rFont val="KaiTi"/>
              <family val="2"/>
            </rPr>
            <t xml:space="preserve">提示</t>
          </r>
        </is>
      </c>
      <c r="B7" s="18" t="inlineStr">
        <is>
          <r>
            <rPr>
              <sz val="12"/>
              <rFont val="KaiTi"/>
              <family val="2"/>
            </rPr>
            <t xml:space="preserve">基准 </t>
          </r>
          <r>
            <rPr>
              <sz val="12"/>
              <rFont val="Arial"/>
              <family val="2"/>
            </rPr>
            <t xml:space="preserve">WACC 8.31%</t>
          </r>
          <r>
            <rPr>
              <sz val="12"/>
              <rFont val="KaiTi"/>
              <family val="2"/>
            </rPr>
            <t xml:space="preserve">，永续增长率 </t>
          </r>
          <r>
            <rPr>
              <sz val="12"/>
              <rFont val="Arial"/>
              <family val="2"/>
            </rPr>
            <t xml:space="preserve">2.50%</t>
          </r>
        </is>
      </c>
    </row>
    <row r="8">
      <c r="A8" s="12" t="inlineStr">
        <is>
          <r>
            <rPr>
              <sz val="12"/>
              <rFont val="KaiTi"/>
              <family val="2"/>
            </rPr>
            <t xml:space="preserve">提示</t>
          </r>
        </is>
      </c>
      <c r="B8" s="18" t="inlineStr">
        <is>
          <r>
            <rPr>
              <sz val="12"/>
              <rFont val="Arial"/>
              <family val="2"/>
            </rPr>
            <t xml:space="preserve">DCF </t>
          </r>
          <r>
            <rPr>
              <sz val="12"/>
              <rFont val="KaiTi"/>
              <family val="2"/>
            </rPr>
            <t xml:space="preserve">预测与三表模型逐期核对（</t>
          </r>
          <r>
            <rPr>
              <sz val="12"/>
              <rFont val="Arial"/>
              <family val="2"/>
            </rPr>
            <t xml:space="preserve">revenue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ebit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da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capex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nwc</t>
          </r>
          <r>
            <rPr>
              <sz val="12"/>
              <rFont val="KaiTi"/>
              <family val="2"/>
            </rPr>
            <t xml:space="preserve">），最大偏差 </t>
          </r>
          <r>
            <rPr>
              <sz val="12"/>
              <rFont val="Arial"/>
              <family val="2"/>
            </rPr>
            <t xml:space="preserve">3.64e-12 </t>
          </r>
          <r>
            <rPr>
              <sz val="12"/>
              <rFont val="KaiTi"/>
              <family val="2"/>
            </rPr>
            <t xml:space="preserve">百万元</t>
          </r>
        </is>
      </c>
    </row>
  </sheetData>
  <pageMargins left="0.5" right="0.5" top="0.6" bottom="0.6" header="0.3" footer="0.3"/>
  <pageSetup paperSize="9" orientation="landscape" fitToWidth="1" fitToHeight="0"/>
</worksheet>
</file>