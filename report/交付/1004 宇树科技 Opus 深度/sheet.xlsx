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9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lef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1.5" customWidth="1"/>
    <col min="5" max="5" width="11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宇树科技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0.1125</v>
      </c>
      <c r="C5" s="7">
        <v>0.03</v>
      </c>
      <c r="D5" s="8">
        <v>15600.049741872164</v>
      </c>
      <c r="E5" s="8">
        <v>18158.917341872162</v>
      </c>
      <c r="F5" s="9">
        <v>49.8846824342214</v>
      </c>
      <c r="G5" s="7">
        <v>-0.8892436002792597</v>
      </c>
      <c r="H5" s="7">
        <v>0.675624320437205</v>
      </c>
      <c r="I5" s="10">
        <v>8.377981788019305</v>
      </c>
      <c r="J5" s="11" t="inlineStr">
        <is>
          <r>
            <rPr>
              <sz val="12"/>
              <rFont val="KaiTi"/>
              <family val="2"/>
            </rPr>
            <t xml:space="preserve">科研与消费级放量、工业场景逐步切入：销量高增长，人形均价两位数下降，收入增速逐年放缓且低于行业。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0.1225</v>
      </c>
      <c r="C6" s="14">
        <v>0.025</v>
      </c>
      <c r="D6" s="15">
        <v>4946.669012073286</v>
      </c>
      <c r="E6" s="15">
        <v>7505.536612073286</v>
      </c>
      <c r="F6" s="16">
        <v>20.61859214086254</v>
      </c>
      <c r="G6" s="14">
        <v>-0.9542215982662909</v>
      </c>
      <c r="H6" s="14">
        <v>0.55651715695406</v>
      </c>
      <c r="I6" s="17">
        <v>6.78693166348</v>
      </c>
      <c r="J6" s="18" t="inlineStr">
        <is>
          <r>
            <rPr>
              <sz val="12"/>
              <rFont val="KaiTi"/>
              <family val="2"/>
            </rPr>
            <t xml:space="preserve">科研需求见顶、工业订单旁落于全尺寸对手，价格战加剧，收入增速快速回落，毛利率再降 </t>
          </r>
          <r>
            <rPr>
              <sz val="12"/>
              <rFont val="Arial"/>
              <family val="2"/>
            </rPr>
            <t xml:space="preserve">4 </t>
          </r>
          <r>
            <rPr>
              <sz val="12"/>
              <rFont val="KaiTi"/>
              <family val="2"/>
            </rPr>
            <t xml:space="preserve">个百分点。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0.1075</v>
      </c>
      <c r="C7" s="14">
        <v>0.035</v>
      </c>
      <c r="D7" s="15">
        <v>37139.62133680022</v>
      </c>
      <c r="E7" s="15">
        <v>39698.488936800226</v>
      </c>
      <c r="F7" s="16">
        <v>109.05641985407922</v>
      </c>
      <c r="G7" s="14">
        <v>-0.7578676290984031</v>
      </c>
      <c r="H7" s="14">
        <v>0.7466225991555343</v>
      </c>
      <c r="I7" s="17">
        <v>9.289426809704102</v>
      </c>
      <c r="J7" s="18" t="inlineStr">
        <is>
          <r>
            <rPr>
              <sz val="12"/>
              <rFont val="Arial"/>
              <family val="2"/>
            </rPr>
            <t xml:space="preserve">H2 </t>
          </r>
          <r>
            <rPr>
              <sz val="12"/>
              <rFont val="KaiTi"/>
              <family val="2"/>
            </rPr>
            <t xml:space="preserve">等全尺寸产品切入工业、消费级放量，销量增长抵消降价，收入维持高增长，毛利率高 </t>
          </r>
          <r>
            <rPr>
              <sz val="12"/>
              <rFont val="Arial"/>
              <family val="2"/>
            </rPr>
            <t xml:space="preserve">2 </t>
          </r>
          <r>
            <rPr>
              <sz val="12"/>
              <rFont val="KaiTi"/>
              <family val="2"/>
            </rPr>
            <t xml:space="preserve">个百分点。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20.61859214086254</v>
      </c>
      <c r="C10" s="16">
        <v>49.8846824342214</v>
      </c>
      <c r="D10" s="16">
        <v>109.05641985407922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450.4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4.55e-13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  <c r="I4" s="3" t="inlineStr">
        <is>
          <t xml:space="preserve">2031E</t>
        </is>
      </c>
      <c r="J4" s="3" t="inlineStr">
        <is>
          <t xml:space="preserve">2032E</t>
        </is>
      </c>
      <c r="K4" s="3" t="inlineStr">
        <is>
          <t xml:space="preserve">2033E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392.7707</v>
      </c>
      <c r="C5" s="20">
        <v>1699.2693</v>
      </c>
      <c r="D5" s="21">
        <f>'三表-利润表'!D5</f>
        <v>2344.9916339999995</v>
      </c>
      <c r="E5" s="21">
        <f>'三表-利润表'!E5</f>
        <v>3282.9882875999992</v>
      </c>
      <c r="F5" s="21">
        <f>'三表-利润表'!F5</f>
        <v>4432.03418826</v>
      </c>
      <c r="G5" s="21">
        <f>'三表-利润表'!G5</f>
        <v>5761.644444738</v>
      </c>
      <c r="H5" s="21">
        <f>'三表-利润表'!H5</f>
        <v>7202.0555559224995</v>
      </c>
      <c r="I5" s="21">
        <f>'三表-利润表'!I5</f>
        <v>8642.466667106999</v>
      </c>
      <c r="J5" s="21">
        <f>'三表-利润表'!J5</f>
        <v>9938.836667173047</v>
      </c>
      <c r="K5" s="21">
        <f>'三表-利润表'!K5</f>
        <v>10932.720333890353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3.3263647211973804</v>
      </c>
      <c r="D6" s="14">
        <f>D5/C5-1</f>
        <v>0.3799999999999997</v>
      </c>
      <c r="E6" s="14">
        <f>E5/D5-1</f>
        <v>0.4</v>
      </c>
      <c r="F6" s="14">
        <f>F5/E5-1</f>
        <v>0.35</v>
      </c>
      <c r="G6" s="14">
        <f>G5/F5-1</f>
        <v>0.3000000000000002</v>
      </c>
      <c r="H6" s="14">
        <f>H5/G5-1</f>
        <v>0.24999999999999997</v>
      </c>
      <c r="I6" s="14">
        <f>I5/H5-1</f>
        <v>0.19999999999999984</v>
      </c>
      <c r="J6" s="14">
        <f>J5/I5-1</f>
        <v>0.14999999999999997</v>
      </c>
      <c r="K6" s="14">
        <f>K5/J5-1</f>
        <v>0.09999999999999992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168.0441</v>
      </c>
      <c r="C7" s="22">
        <v>672.261</v>
      </c>
      <c r="D7" s="23">
        <f>'三表-利润表'!D6</f>
        <v>1031.7963189599996</v>
      </c>
      <c r="E7" s="23">
        <f>'三表-利润表'!E6</f>
        <v>1510.1746122959996</v>
      </c>
      <c r="F7" s="23">
        <f>'三表-利润表'!F6</f>
        <v>2127.3764103647995</v>
      </c>
      <c r="G7" s="23">
        <f>'三表-利润表'!G6</f>
        <v>2823.2057779216198</v>
      </c>
      <c r="H7" s="23">
        <f>'三表-利润表'!H6</f>
        <v>3601.0277779612497</v>
      </c>
      <c r="I7" s="23">
        <f>'三表-利润表'!I6</f>
        <v>4321.2333335534995</v>
      </c>
      <c r="J7" s="23">
        <f>'三表-利润表'!J6</f>
        <v>4969.418333586524</v>
      </c>
      <c r="K7" s="23">
        <f>'三表-利润表'!K6</f>
        <v>5466.360166945176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224.7266</v>
      </c>
      <c r="C8" s="24">
        <f>C5-C7</f>
        <v>1027.0083</v>
      </c>
      <c r="D8" s="24">
        <f>D5-D7</f>
        <v>1313.19531504</v>
      </c>
      <c r="E8" s="24">
        <f>E5-E7</f>
        <v>1772.8136753039996</v>
      </c>
      <c r="F8" s="24">
        <f>F5-F7</f>
        <v>2304.6577778952</v>
      </c>
      <c r="G8" s="24">
        <f>G5-G7</f>
        <v>2938.43866681638</v>
      </c>
      <c r="H8" s="24">
        <f>H5-H7</f>
        <v>3601.0277779612497</v>
      </c>
      <c r="I8" s="24">
        <f>I5-I7</f>
        <v>4321.2333335534995</v>
      </c>
      <c r="J8" s="24">
        <f>J5-J7</f>
        <v>4969.418333586524</v>
      </c>
      <c r="K8" s="24">
        <f>K5-K7</f>
        <v>5466.360166945176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0.572157240853251</v>
      </c>
      <c r="C9" s="14">
        <f>C8/C5</f>
        <v>0.6043823071481371</v>
      </c>
      <c r="D9" s="14">
        <f>D8/D5</f>
        <v>0.56</v>
      </c>
      <c r="E9" s="14">
        <f>E8/E5</f>
        <v>0.54</v>
      </c>
      <c r="F9" s="14">
        <f>F8/F5</f>
        <v>0.52</v>
      </c>
      <c r="G9" s="14">
        <f>G8/G5</f>
        <v>0.51</v>
      </c>
      <c r="H9" s="14">
        <f>H8/H5</f>
        <v>0.5</v>
      </c>
      <c r="I9" s="14">
        <f>I8/I5</f>
        <v>0.5</v>
      </c>
      <c r="J9" s="14">
        <f>J8/J5</f>
        <v>0.5</v>
      </c>
      <c r="K9" s="14">
        <f>K8/K5</f>
        <v>0.5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73.2026</v>
      </c>
      <c r="C10" s="22">
        <v>345.5213</v>
      </c>
      <c r="D10" s="23">
        <f>'三表-利润表'!D11</f>
        <v>638.9158154551753</v>
      </c>
      <c r="E10" s="23">
        <f>'三表-利润表'!E11</f>
        <v>843.634732402236</v>
      </c>
      <c r="F10" s="23">
        <f>'三表-利润表'!F11</f>
        <v>1081.9168128279612</v>
      </c>
      <c r="G10" s="23">
        <f>'三表-利润表'!G11</f>
        <v>1401.784229599997</v>
      </c>
      <c r="H10" s="23">
        <f>'三表-利润表'!H11</f>
        <v>1749.2300662064251</v>
      </c>
      <c r="I10" s="23">
        <f>'三表-利润表'!I11</f>
        <v>2178.028756647969</v>
      </c>
      <c r="J10" s="23">
        <f>'三表-利润表'!J11</f>
        <v>2492.1640166213697</v>
      </c>
      <c r="K10" s="23">
        <f>'三表-利润表'!K11</f>
        <v>2722.981298772878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95.4747</v>
      </c>
      <c r="C11" s="22">
        <v>278.2105</v>
      </c>
      <c r="D11" s="23">
        <f>'三表-利润表'!D17</f>
        <v>541.6907569371596</v>
      </c>
      <c r="E11" s="23">
        <f>'三表-利润表'!E17</f>
        <v>715.7018363421611</v>
      </c>
      <c r="F11" s="23">
        <f>'三表-利润表'!F17</f>
        <v>918.2416047040275</v>
      </c>
      <c r="G11" s="23">
        <f>'三表-利润表'!G17</f>
        <v>1190.1289089602578</v>
      </c>
      <c r="H11" s="23">
        <f>'三表-利润表'!H17</f>
        <v>1485.457870075722</v>
      </c>
      <c r="I11" s="23">
        <f>'三表-利润表'!I17</f>
        <v>1849.9367569510343</v>
      </c>
      <c r="J11" s="23">
        <f>'三表-利润表'!J17</f>
        <v>2116.9517279284246</v>
      </c>
      <c r="K11" s="23">
        <f>'三表-利润表'!K17</f>
        <v>2313.1464177572066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95.4747</v>
      </c>
      <c r="C12" s="20">
        <v>278.2105</v>
      </c>
      <c r="D12" s="24">
        <f>D11*$C$12/$C$11</f>
        <v>541.6907569371596</v>
      </c>
      <c r="E12" s="24">
        <f>E11*$C$12/$C$11</f>
        <v>715.7018363421611</v>
      </c>
      <c r="F12" s="24">
        <f>F11*$C$12/$C$11</f>
        <v>918.2416047040275</v>
      </c>
      <c r="G12" s="24">
        <f>G11*$C$12/$C$11</f>
        <v>1190.1289089602578</v>
      </c>
      <c r="H12" s="24">
        <f>H11*$C$12/$C$11</f>
        <v>1485.457870075722</v>
      </c>
      <c r="I12" s="24">
        <f>I11*$C$12/$C$11</f>
        <v>1849.9367569510343</v>
      </c>
      <c r="J12" s="24">
        <f>J11*$C$12/$C$11</f>
        <v>2116.9517279284246</v>
      </c>
      <c r="K12" s="24">
        <f>K11*$C$12/$C$11</f>
        <v>2313.1464177572066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1.913970926329174</v>
      </c>
      <c r="D13" s="14">
        <f>D12/C12-1</f>
        <v>0.9470536048681107</v>
      </c>
      <c r="E13" s="14">
        <f>E12/D12-1</f>
        <v>0.321236936714407</v>
      </c>
      <c r="F13" s="14">
        <f>F12/E12-1</f>
        <v>0.2829946188164267</v>
      </c>
      <c r="G13" s="14">
        <f>G12/F12-1</f>
        <v>0.29609560584424444</v>
      </c>
      <c r="H13" s="14">
        <f>H12/G12-1</f>
        <v>0.24814871640541436</v>
      </c>
      <c r="I13" s="14">
        <f>I12/H12-1</f>
        <v>0.24536467456780367</v>
      </c>
      <c r="J13" s="14">
        <f>J12/I12-1</f>
        <v>0.14433735097921396</v>
      </c>
      <c r="K13" s="14">
        <f>K12/J12-1</f>
        <v>0.09267792328017378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0.24307999552919807</v>
      </c>
      <c r="C14" s="14">
        <f>C12/C5</f>
        <v>0.16372360755296408</v>
      </c>
      <c r="D14" s="14">
        <f>D12/D5</f>
        <v>0.230999014701457</v>
      </c>
      <c r="E14" s="14">
        <f>E12/E5</f>
        <v>0.2180031646915709</v>
      </c>
      <c r="F14" s="14">
        <f>F12/F5</f>
        <v>0.2071828793957309</v>
      </c>
      <c r="G14" s="14">
        <f>G12/G5</f>
        <v>0.20656063045458833</v>
      </c>
      <c r="H14" s="14">
        <f>H12/H5</f>
        <v>0.20625470860943007</v>
      </c>
      <c r="I14" s="14">
        <f>I12/I5</f>
        <v>0.21405194005455006</v>
      </c>
      <c r="J14" s="14">
        <f>J12/J5</f>
        <v>0.21299793917737855</v>
      </c>
      <c r="K14" s="14">
        <f>K12/K5</f>
        <v>0.21158013258481342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364.0179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450.4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163953.66216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  <c r="I20" s="3" t="inlineStr">
        <is>
          <t xml:space="preserve">2031E</t>
        </is>
      </c>
      <c r="J20" s="3" t="inlineStr">
        <is>
          <t xml:space="preserve">2032E</t>
        </is>
      </c>
      <c r="K20" s="3" t="inlineStr">
        <is>
          <t xml:space="preserve">2033E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12"/>
      <c r="C21" s="25">
        <v>0.76</v>
      </c>
      <c r="D21" s="16">
        <f>D12/$B$16</f>
        <v>1.4880882421912756</v>
      </c>
      <c r="E21" s="16">
        <f>E12/$B$16</f>
        <v>1.9661171506735275</v>
      </c>
      <c r="F21" s="16">
        <f>F12/$B$16</f>
        <v>2.5225177242768213</v>
      </c>
      <c r="G21" s="16">
        <f>G12/$B$16</f>
        <v>3.2694241380994113</v>
      </c>
      <c r="H21" s="16">
        <f>H12/$B$16</f>
        <v>4.080727541353658</v>
      </c>
      <c r="I21" s="16">
        <f>I12/$B$16</f>
        <v>5.0819939265377725</v>
      </c>
      <c r="J21" s="16">
        <f>J12/$B$16</f>
        <v>5.815515467586689</v>
      </c>
      <c r="K21" s="16">
        <f>K12/$B$16</f>
        <v>6.354485363926352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26" t="str">
        <f>$B$17/B21</f>
        <v/>
      </c>
      <c r="C22" s="17">
        <f>$B$17/C21</f>
        <v>592.6315789473684</v>
      </c>
      <c r="D22" s="17">
        <f>$B$17/D21</f>
        <v>302.6702229276176</v>
      </c>
      <c r="E22" s="17">
        <f>$B$17/E21</f>
        <v>229.08095778814993</v>
      </c>
      <c r="F22" s="17">
        <f>$B$17/F21</f>
        <v>178.5517682057615</v>
      </c>
      <c r="G22" s="17">
        <f>$B$17/G21</f>
        <v>137.76126344434084</v>
      </c>
      <c r="H22" s="17">
        <f>$B$17/H21</f>
        <v>110.37247535781165</v>
      </c>
      <c r="I22" s="17">
        <f>$B$17/I21</f>
        <v>88.62663090722062</v>
      </c>
      <c r="J22" s="17">
        <f>$B$17/J21</f>
        <v>77.44799278934875</v>
      </c>
      <c r="K22" s="17">
        <f>$B$17/K21</f>
        <v>70.87906796620645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1.0000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1.5" customWidth="1"/>
    <col min="11" max="11" width="2.5" customWidth="1"/>
    <col min="12" max="12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宇树科技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3" t="inlineStr">
        <is>
          <t xml:space="preserve">FY2031E</t>
        </is>
      </c>
      <c r="I4" s="3" t="inlineStr">
        <is>
          <t xml:space="preserve">FY2032E</t>
        </is>
      </c>
      <c r="J4" s="3" t="inlineStr">
        <is>
          <t xml:space="preserve">FY2033E</t>
        </is>
      </c>
      <c r="K4" s="2"/>
      <c r="L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1699.2693</v>
      </c>
      <c r="C5" s="23">
        <f>'三表-利润表'!D5</f>
        <v>2344.9916339999995</v>
      </c>
      <c r="D5" s="23">
        <f>'三表-利润表'!E5</f>
        <v>3282.9882875999992</v>
      </c>
      <c r="E5" s="23">
        <f>'三表-利润表'!F5</f>
        <v>4432.03418826</v>
      </c>
      <c r="F5" s="23">
        <f>'三表-利润表'!G5</f>
        <v>5761.644444738</v>
      </c>
      <c r="G5" s="23">
        <f>'三表-利润表'!H5</f>
        <v>7202.0555559224995</v>
      </c>
      <c r="H5" s="23">
        <f>'三表-利润表'!I5</f>
        <v>8642.466667106999</v>
      </c>
      <c r="I5" s="23">
        <f>'三表-利润表'!J5</f>
        <v>9938.836667173047</v>
      </c>
      <c r="J5" s="23">
        <f>'三表-利润表'!K5</f>
        <v>10932.720333890353</v>
      </c>
      <c r="K5" s="2"/>
      <c r="L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0.37999999999999967</v>
      </c>
      <c r="D6" s="14">
        <f>D5/C5-1</f>
        <v>0.3999999999999999</v>
      </c>
      <c r="E6" s="14">
        <f>E5/D5-1</f>
        <v>0.3500000000000001</v>
      </c>
      <c r="F6" s="14">
        <f>F5/E5-1</f>
        <v>0.30000000000000004</v>
      </c>
      <c r="G6" s="14">
        <f>G5/F5-1</f>
        <v>0.25</v>
      </c>
      <c r="H6" s="14">
        <f>H5/G5-1</f>
        <v>0.19999999999999996</v>
      </c>
      <c r="I6" s="14">
        <f>I5/H5-1</f>
        <v>0.1499999999999999</v>
      </c>
      <c r="J6" s="14">
        <f>J5/I5-1</f>
        <v>0.10000000000000009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345.5213</v>
      </c>
      <c r="C7" s="23">
        <f>'三表-利润表'!D11</f>
        <v>638.9158154551753</v>
      </c>
      <c r="D7" s="23">
        <f>'三表-利润表'!E11</f>
        <v>843.634732402236</v>
      </c>
      <c r="E7" s="23">
        <f>'三表-利润表'!F11</f>
        <v>1081.9168128279612</v>
      </c>
      <c r="F7" s="23">
        <f>'三表-利润表'!G11</f>
        <v>1401.784229599997</v>
      </c>
      <c r="G7" s="23">
        <f>'三表-利润表'!H11</f>
        <v>1749.2300662064251</v>
      </c>
      <c r="H7" s="23">
        <f>'三表-利润表'!I11</f>
        <v>2178.0287566479697</v>
      </c>
      <c r="I7" s="23">
        <f>'三表-利润表'!J11</f>
        <v>2492.1640166213697</v>
      </c>
      <c r="J7" s="23">
        <f>'三表-利润表'!K11</f>
        <v>2722.981298772878</v>
      </c>
      <c r="K7" s="2"/>
      <c r="L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0.20333522179209618</v>
      </c>
      <c r="C8" s="14">
        <f>C7/C5</f>
        <v>0.2724597419417384</v>
      </c>
      <c r="D8" s="14">
        <f>D7/D5</f>
        <v>0.25697159371194955</v>
      </c>
      <c r="E8" s="14">
        <f>E7/E5</f>
        <v>0.24411292126171927</v>
      </c>
      <c r="F8" s="14">
        <f>F7/F5</f>
        <v>0.24329585816081029</v>
      </c>
      <c r="G8" s="14">
        <f>G7/G5</f>
        <v>0.24287927975895338</v>
      </c>
      <c r="H8" s="14">
        <f>H7/H5</f>
        <v>0.2520147129913141</v>
      </c>
      <c r="I8" s="14">
        <f>I7/I5</f>
        <v>0.2507500726772913</v>
      </c>
      <c r="J8" s="14">
        <f>J7/J5</f>
        <v>0.24906713202311642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84.63025477203706</v>
      </c>
      <c r="C9" s="15">
        <f>C7*'三表-假设'!D16</f>
        <v>95.8373723182763</v>
      </c>
      <c r="D9" s="15">
        <f>D7*'三表-假设'!E16</f>
        <v>126.54520986033539</v>
      </c>
      <c r="E9" s="15">
        <f>E7*'三表-假设'!F16</f>
        <v>162.28752192419418</v>
      </c>
      <c r="F9" s="15">
        <f>F7*'三表-假设'!G16</f>
        <v>210.26763443999954</v>
      </c>
      <c r="G9" s="15">
        <f>G7*'三表-假设'!H16</f>
        <v>262.38450993096376</v>
      </c>
      <c r="H9" s="15">
        <f>H7*'三表-假设'!I16</f>
        <v>326.7043134971954</v>
      </c>
      <c r="I9" s="15">
        <f>I7*'三表-假设'!J16</f>
        <v>373.8246024932054</v>
      </c>
      <c r="J9" s="15">
        <f>J7*'三表-假设'!K16</f>
        <v>408.44719481593165</v>
      </c>
      <c r="K9" s="2"/>
      <c r="L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260.89104522796293</v>
      </c>
      <c r="C10" s="24">
        <f>C7-C9</f>
        <v>543.0784431368991</v>
      </c>
      <c r="D10" s="24">
        <f>D7-D9</f>
        <v>717.0895225419006</v>
      </c>
      <c r="E10" s="24">
        <f>E7-E9</f>
        <v>919.629290903767</v>
      </c>
      <c r="F10" s="24">
        <f>F7-F9</f>
        <v>1191.5165951599975</v>
      </c>
      <c r="G10" s="24">
        <f>G7-G9</f>
        <v>1486.8455562754614</v>
      </c>
      <c r="H10" s="24">
        <f>H7-H9</f>
        <v>1851.3244431507742</v>
      </c>
      <c r="I10" s="24">
        <f>I7-I9</f>
        <v>2118.339414128164</v>
      </c>
      <c r="J10" s="24">
        <f>J7-J9</f>
        <v>2314.534103956946</v>
      </c>
      <c r="K10" s="2"/>
      <c r="L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6.3726</v>
      </c>
      <c r="C11" s="23">
        <f>'三表-利润表'!D10</f>
        <v>17.681842064824664</v>
      </c>
      <c r="D11" s="23">
        <f>'三表-利润表'!E10</f>
        <v>42.772105249763804</v>
      </c>
      <c r="E11" s="23">
        <f>'三表-利润表'!F10</f>
        <v>70.41207611963894</v>
      </c>
      <c r="F11" s="23">
        <f>'三表-利润表'!G10</f>
        <v>96.24332603188323</v>
      </c>
      <c r="G11" s="23">
        <f>'三表-利润表'!H10</f>
        <v>123.30437833342489</v>
      </c>
      <c r="H11" s="23">
        <f>'三表-利润表'!I10</f>
        <v>155.43724347092007</v>
      </c>
      <c r="I11" s="23">
        <f>'三表-利润表'!J10</f>
        <v>191.3218835153531</v>
      </c>
      <c r="J11" s="23">
        <f>'三表-利润表'!K10</f>
        <v>228.8531913775171</v>
      </c>
      <c r="K11" s="2"/>
      <c r="L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50.36270000000001</v>
      </c>
      <c r="C12" s="23">
        <f>'三表-假设'!D50</f>
        <v>140.69949803999995</v>
      </c>
      <c r="D12" s="23">
        <f>'三表-假设'!E50</f>
        <v>196.97929725599994</v>
      </c>
      <c r="E12" s="23">
        <f>'三表-假设'!F50</f>
        <v>221.60170941299998</v>
      </c>
      <c r="F12" s="23">
        <f>'三表-假设'!G50</f>
        <v>230.46577778952</v>
      </c>
      <c r="G12" s="23">
        <f>'三表-假设'!H50</f>
        <v>288.0822222369</v>
      </c>
      <c r="H12" s="23">
        <f>'三表-假设'!I50</f>
        <v>345.69866668427994</v>
      </c>
      <c r="I12" s="23">
        <f>'三表-假设'!J50</f>
        <v>397.5534666869219</v>
      </c>
      <c r="J12" s="23">
        <f>'三表-假设'!K50</f>
        <v>437.3088133556141</v>
      </c>
      <c r="K12" s="2"/>
      <c r="L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109.77309999999996</v>
      </c>
      <c r="C13" s="23">
        <f>'三表-假设'!D47</f>
        <v>88.07845336270864</v>
      </c>
      <c r="D13" s="23">
        <f>'三表-假设'!E47</f>
        <v>119.91723586816494</v>
      </c>
      <c r="E13" s="23">
        <f>'三表-假设'!F47</f>
        <v>152.60302883696545</v>
      </c>
      <c r="F13" s="23">
        <f>'三表-假设'!G47</f>
        <v>173.22519136435596</v>
      </c>
      <c r="G13" s="23">
        <f>'三表-假设'!H47</f>
        <v>192.05152228805355</v>
      </c>
      <c r="H13" s="23">
        <f>'三表-假设'!I47</f>
        <v>181.51336634405016</v>
      </c>
      <c r="I13" s="23">
        <f>'三表-假设'!J47</f>
        <v>163.36202970964405</v>
      </c>
      <c r="J13" s="23">
        <f>'三表-假设'!K47</f>
        <v>125.24422277739404</v>
      </c>
      <c r="K13" s="2"/>
      <c r="L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107.12784522796294</v>
      </c>
      <c r="C14" s="24">
        <f>C10+C11-C12-C13</f>
        <v>331.9823337990151</v>
      </c>
      <c r="D14" s="24">
        <f>D10+D11-D12-D13</f>
        <v>442.9650946674996</v>
      </c>
      <c r="E14" s="24">
        <f>E10+E11-E12-E13</f>
        <v>615.8366287734406</v>
      </c>
      <c r="F14" s="24">
        <f>F10+F11-F12-F13</f>
        <v>884.0689520380048</v>
      </c>
      <c r="G14" s="24">
        <f>G10+G11-G12-G13</f>
        <v>1130.0161900839328</v>
      </c>
      <c r="H14" s="24">
        <f>H10+H11-H12-H13</f>
        <v>1479.5496535933642</v>
      </c>
      <c r="I14" s="24">
        <f>I10+I11-I12-I13</f>
        <v>1748.7458012469513</v>
      </c>
      <c r="J14" s="24">
        <f>J10+J11-J12-J13</f>
        <v>1980.8342592014556</v>
      </c>
      <c r="K14" s="2"/>
      <c r="L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  <c r="H16" s="22">
        <v>5.5</v>
      </c>
      <c r="I16" s="22">
        <v>6.5</v>
      </c>
      <c r="J16" s="22">
        <v>7.5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7">
        <f>1/(1+$B$21)^C16</f>
        <v>0.9480909262799545</v>
      </c>
      <c r="D17" s="27">
        <f>1/(1+$B$21)^D16</f>
        <v>0.8522165629482736</v>
      </c>
      <c r="E17" s="27">
        <f>1/(1+$B$21)^E16</f>
        <v>0.7660373599535044</v>
      </c>
      <c r="F17" s="27">
        <f>1/(1+$B$21)^F16</f>
        <v>0.6885729078233747</v>
      </c>
      <c r="G17" s="27">
        <f>1/(1+$B$21)^G16</f>
        <v>0.6189419396165166</v>
      </c>
      <c r="H17" s="27">
        <f>1/(1+$B$21)^H16</f>
        <v>0.5563523052732733</v>
      </c>
      <c r="I17" s="27">
        <f>1/(1+$B$21)^I16</f>
        <v>0.5000919597962007</v>
      </c>
      <c r="J17" s="27">
        <f>1/(1+$B$21)^J16</f>
        <v>0.4495208627381579</v>
      </c>
      <c r="K17" s="2"/>
      <c r="L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314.7494383600893</v>
      </c>
      <c r="D18" s="24">
        <f>D14*D17</f>
        <v>377.50219048359315</v>
      </c>
      <c r="E18" s="24">
        <f>E14*E17</f>
        <v>471.75386526827276</v>
      </c>
      <c r="F18" s="24">
        <f>F14*F17</f>
        <v>608.7459290211725</v>
      </c>
      <c r="G18" s="24">
        <f>G14*G17</f>
        <v>699.4144124886157</v>
      </c>
      <c r="H18" s="24">
        <f>H14*H17</f>
        <v>823.1508605429411</v>
      </c>
      <c r="I18" s="24">
        <f>I14*I17</f>
        <v>874.5337149309651</v>
      </c>
      <c r="J18" s="24">
        <f>J14*J17</f>
        <v>890.4263251375381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0.1125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8">
        <f>'三表-假设'!$D$37</f>
        <v>0.03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SUM(C18:J18)</f>
        <v>5060.276736233188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J14*(1+B22)/(B21-B22)</f>
        <v>24730.41559972726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B24/(1+B21)^COUNT(C16:J16)</f>
        <v>10539.773005638976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15600.049741872164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0.675624320437205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1419.2579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1169.8569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16.108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14.1392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0.0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18158.917341872162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364.0179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49.8846824342214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450.4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-0.8892436002792597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9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1.3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9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9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9">
        <v>0.01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9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30">
        <f>B5+B6*B7+B8+B9+B10</f>
        <v>0.1125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9">
        <v>0.035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1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30">
        <f>B12*(1-B13)</f>
        <v>0.029750000000000002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1">
        <v>0.0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1">
        <v>1.0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1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9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9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0.1125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2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2"/>
      <c r="C4" s="32"/>
      <c r="D4" s="32"/>
      <c r="E4" s="32"/>
      <c r="F4" s="32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3">
        <v>0.019999999999999997</v>
      </c>
      <c r="C5" s="33">
        <v>0.024999999999999998</v>
      </c>
      <c r="D5" s="33">
        <v>0.03</v>
      </c>
      <c r="E5" s="33">
        <v>0.034999999999999996</v>
      </c>
      <c r="F5" s="33">
        <v>0.04</v>
      </c>
    </row>
    <row r="6" ht="20" customHeight="1">
      <c r="A6" s="34">
        <v>0.10250000000000001</v>
      </c>
      <c r="B6" s="16">
        <v>52.36416873855633</v>
      </c>
      <c r="C6" s="16">
        <v>54.513431752303575</v>
      </c>
      <c r="D6" s="16">
        <v>56.959144836912515</v>
      </c>
      <c r="E6" s="16">
        <v>59.76718578590797</v>
      </c>
      <c r="F6" s="16">
        <v>63.02451328674269</v>
      </c>
    </row>
    <row r="7" ht="20" customHeight="1">
      <c r="A7" s="34">
        <v>0.1075</v>
      </c>
      <c r="B7" s="16">
        <v>49.25883749628651</v>
      </c>
      <c r="C7" s="16">
        <v>51.10311919755189</v>
      </c>
      <c r="D7" s="16">
        <v>53.185372731238616</v>
      </c>
      <c r="E7" s="16">
        <v>55.554833648882145</v>
      </c>
      <c r="F7" s="16">
        <v>58.27532581358396</v>
      </c>
    </row>
    <row r="8" ht="20" customHeight="1">
      <c r="A8" s="34">
        <v>0.1125</v>
      </c>
      <c r="B8" s="16">
        <v>46.50380380753769</v>
      </c>
      <c r="C8" s="16">
        <v>48.097646588688576</v>
      </c>
      <c r="D8" s="9">
        <v>49.8846824342214</v>
      </c>
      <c r="E8" s="16">
        <v>51.90230355014555</v>
      </c>
      <c r="F8" s="16">
        <v>54.19821723378338</v>
      </c>
    </row>
    <row r="9" ht="20" customHeight="1">
      <c r="A9" s="34">
        <v>0.11750000000000001</v>
      </c>
      <c r="B9" s="16">
        <v>44.044645756914434</v>
      </c>
      <c r="C9" s="16">
        <v>45.43081523531795</v>
      </c>
      <c r="D9" s="16">
        <v>46.975404082681884</v>
      </c>
      <c r="E9" s="16">
        <v>48.707215820635376</v>
      </c>
      <c r="F9" s="16">
        <v>50.662487137679655</v>
      </c>
    </row>
    <row r="10" ht="20" customHeight="1">
      <c r="A10" s="34">
        <v>0.1225</v>
      </c>
      <c r="B10" s="16">
        <v>41.83758353308351</v>
      </c>
      <c r="C10" s="16">
        <v>43.050029726306846</v>
      </c>
      <c r="D10" s="16">
        <v>44.39355118366245</v>
      </c>
      <c r="E10" s="16">
        <v>45.89061795043011</v>
      </c>
      <c r="F10" s="16">
        <v>47.56914735559387</v>
      </c>
    </row>
    <row r="11" ht="20" customHeight="1"/>
    <row r="12" ht="20" customHeight="1">
      <c r="A12" s="32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2"/>
      <c r="C12" s="32"/>
      <c r="D12" s="32"/>
      <c r="E12" s="32"/>
      <c r="F12" s="32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5">
        <v>20.0</v>
      </c>
      <c r="C13" s="35">
        <v>22.5</v>
      </c>
      <c r="D13" s="35">
        <v>25.0</v>
      </c>
      <c r="E13" s="35">
        <v>27.5</v>
      </c>
      <c r="F13" s="35">
        <v>30.0</v>
      </c>
    </row>
    <row r="14" ht="20" customHeight="1">
      <c r="A14" s="34">
        <v>0.10250000000000001</v>
      </c>
      <c r="B14" s="16">
        <v>95.84030708147982</v>
      </c>
      <c r="C14" s="16">
        <v>105.12741487857926</v>
      </c>
      <c r="D14" s="16">
        <v>114.4145226756787</v>
      </c>
      <c r="E14" s="16">
        <v>123.70163047277815</v>
      </c>
      <c r="F14" s="16">
        <v>132.98873826987762</v>
      </c>
    </row>
    <row r="15" ht="20" customHeight="1">
      <c r="A15" s="34">
        <v>0.1075</v>
      </c>
      <c r="B15" s="16">
        <v>92.88789173238317</v>
      </c>
      <c r="C15" s="16">
        <v>101.84482611147725</v>
      </c>
      <c r="D15" s="16">
        <v>110.8017604905713</v>
      </c>
      <c r="E15" s="16">
        <v>119.7586948696654</v>
      </c>
      <c r="F15" s="16">
        <v>128.71562924875946</v>
      </c>
    </row>
    <row r="16" ht="20" customHeight="1">
      <c r="A16" s="34">
        <v>0.1125</v>
      </c>
      <c r="B16" s="16">
        <v>90.04994935003864</v>
      </c>
      <c r="C16" s="16">
        <v>98.68985727808086</v>
      </c>
      <c r="D16" s="9">
        <v>107.32976520612308</v>
      </c>
      <c r="E16" s="16">
        <v>115.9696731341653</v>
      </c>
      <c r="F16" s="16">
        <v>124.60958106220752</v>
      </c>
    </row>
    <row r="17" ht="20" customHeight="1">
      <c r="A17" s="34">
        <v>0.11750000000000001</v>
      </c>
      <c r="B17" s="16">
        <v>87.32151303782393</v>
      </c>
      <c r="C17" s="16">
        <v>95.65696239396388</v>
      </c>
      <c r="D17" s="16">
        <v>103.9924117501038</v>
      </c>
      <c r="E17" s="16">
        <v>112.32786110624376</v>
      </c>
      <c r="F17" s="16">
        <v>120.66331046238368</v>
      </c>
    </row>
    <row r="18" ht="20" customHeight="1">
      <c r="A18" s="34">
        <v>0.1225</v>
      </c>
      <c r="B18" s="16">
        <v>84.69785316173483</v>
      </c>
      <c r="C18" s="16">
        <v>92.74086067191006</v>
      </c>
      <c r="D18" s="16">
        <v>100.78386818208527</v>
      </c>
      <c r="E18" s="16">
        <v>108.8268756922605</v>
      </c>
      <c r="F18" s="16">
        <v>116.86988320243572</v>
      </c>
    </row>
    <row r="19" ht="20" customHeight="1"/>
    <row r="20" ht="20" customHeight="1">
      <c r="A20" s="32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2"/>
      <c r="C20" s="32"/>
      <c r="D20" s="32"/>
      <c r="E20" s="32"/>
      <c r="F20" s="32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6">
        <v>-0.05</v>
      </c>
      <c r="C21" s="36">
        <v>-0.025</v>
      </c>
      <c r="D21" s="36">
        <v>0.0</v>
      </c>
      <c r="E21" s="36">
        <v>0.025</v>
      </c>
      <c r="F21" s="36">
        <v>0.05</v>
      </c>
    </row>
    <row r="22" ht="20" customHeight="1">
      <c r="A22" s="37">
        <v>-0.05</v>
      </c>
      <c r="B22" s="16">
        <v>32.30101100707357</v>
      </c>
      <c r="C22" s="16">
        <v>36.27340653426448</v>
      </c>
      <c r="D22" s="16">
        <v>40.245802061455386</v>
      </c>
      <c r="E22" s="16">
        <v>44.21819758864629</v>
      </c>
      <c r="F22" s="16">
        <v>48.190593115837196</v>
      </c>
    </row>
    <row r="23" ht="20" customHeight="1">
      <c r="A23" s="37">
        <v>-0.025</v>
      </c>
      <c r="B23" s="16">
        <v>35.65103791567935</v>
      </c>
      <c r="C23" s="16">
        <v>40.21437449613558</v>
      </c>
      <c r="D23" s="16">
        <v>44.77771107659179</v>
      </c>
      <c r="E23" s="16">
        <v>49.34104765704801</v>
      </c>
      <c r="F23" s="16">
        <v>53.904384237504225</v>
      </c>
    </row>
    <row r="24" ht="20" customHeight="1">
      <c r="A24" s="37">
        <v>0.0</v>
      </c>
      <c r="B24" s="16">
        <v>39.41129738614551</v>
      </c>
      <c r="C24" s="16">
        <v>44.64798991018346</v>
      </c>
      <c r="D24" s="9">
        <v>49.8846824342214</v>
      </c>
      <c r="E24" s="16">
        <v>55.12137495825935</v>
      </c>
      <c r="F24" s="16">
        <v>60.35806748229728</v>
      </c>
    </row>
    <row r="25" ht="20" customHeight="1">
      <c r="A25" s="37">
        <v>0.025</v>
      </c>
      <c r="B25" s="16">
        <v>43.62461755439714</v>
      </c>
      <c r="C25" s="16">
        <v>49.62711094386888</v>
      </c>
      <c r="D25" s="16">
        <v>55.629604333340644</v>
      </c>
      <c r="E25" s="16">
        <v>61.632097722812404</v>
      </c>
      <c r="F25" s="16">
        <v>67.63459111228416</v>
      </c>
    </row>
    <row r="26" ht="20" customHeight="1">
      <c r="A26" s="37">
        <v>0.05</v>
      </c>
      <c r="B26" s="16">
        <v>48.337456457913824</v>
      </c>
      <c r="C26" s="16">
        <v>55.20923938866288</v>
      </c>
      <c r="D26" s="16">
        <v>62.08102231941192</v>
      </c>
      <c r="E26" s="16">
        <v>68.95280525016098</v>
      </c>
      <c r="F26" s="16">
        <v>75.82458818091004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交易性金融资产</t>
          </r>
        </is>
      </c>
      <c r="B5" s="22">
        <v>282.231</v>
      </c>
      <c r="C5" s="12" t="inlineStr">
        <is>
          <t xml:space="preserve">p.160</t>
        </is>
      </c>
      <c r="D5" s="12" t="inlineStr">
        <is>
          <t xml:space="preserve">28,223.10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债权投资</t>
          </r>
        </is>
      </c>
      <c r="B6" s="22">
        <v>882.7901</v>
      </c>
      <c r="C6" s="12" t="inlineStr">
        <is>
          <t xml:space="preserve">p.160</t>
        </is>
      </c>
      <c r="D6" s="12" t="inlineStr">
        <is>
          <t xml:space="preserve">88,279.01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7" s="22">
        <v>4.8358</v>
      </c>
      <c r="C7" s="12" t="inlineStr">
        <is>
          <t xml:space="preserve">p.160</t>
        </is>
      </c>
      <c r="D7" s="12" t="inlineStr">
        <is>
          <t xml:space="preserve">483.58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1169.8569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8">
        <v>2</v>
      </c>
      <c r="C5" s="39" t="str">
        <f>CHOOSE(B5,"悲观","基准","乐观")</f>
        <v>基准</v>
      </c>
    </row>
    <row r="6" ht="20" customHeight="1">
      <c r="A6" s="32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1">
        <v>0.28</v>
      </c>
      <c r="E7" s="31">
        <v>0.2</v>
      </c>
      <c r="F7" s="31">
        <v>0.15</v>
      </c>
      <c r="G7" s="31">
        <v>0.12</v>
      </c>
      <c r="H7" s="31">
        <v>0.1</v>
      </c>
      <c r="I7" s="31">
        <v>0.08</v>
      </c>
      <c r="J7" s="31">
        <v>0.06</v>
      </c>
      <c r="K7" s="31">
        <v>0.05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1">
        <v>0.38</v>
      </c>
      <c r="E8" s="31">
        <v>0.4</v>
      </c>
      <c r="F8" s="31">
        <v>0.35</v>
      </c>
      <c r="G8" s="31">
        <v>0.3</v>
      </c>
      <c r="H8" s="31">
        <v>0.25</v>
      </c>
      <c r="I8" s="31">
        <v>0.2</v>
      </c>
      <c r="J8" s="31">
        <v>0.15</v>
      </c>
      <c r="K8" s="31">
        <v>0.1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1">
        <v>0.55</v>
      </c>
      <c r="E9" s="31">
        <v>0.6</v>
      </c>
      <c r="F9" s="31">
        <v>0.5</v>
      </c>
      <c r="G9" s="31">
        <v>0.4</v>
      </c>
      <c r="H9" s="31">
        <v>0.35</v>
      </c>
      <c r="I9" s="31">
        <v>0.3</v>
      </c>
      <c r="J9" s="31">
        <v>0.25</v>
      </c>
      <c r="K9" s="31">
        <v>0.2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3.326364721197381</v>
      </c>
      <c r="D10" s="40">
        <f>CHOOSE($B$5,D7,D8,D9)</f>
        <v>0.38</v>
      </c>
      <c r="E10" s="40">
        <f>CHOOSE($B$5,E7,E8,E9)</f>
        <v>0.4</v>
      </c>
      <c r="F10" s="40">
        <f>CHOOSE($B$5,F7,F8,F9)</f>
        <v>0.35</v>
      </c>
      <c r="G10" s="40">
        <f>CHOOSE($B$5,G7,G8,G9)</f>
        <v>0.3</v>
      </c>
      <c r="H10" s="40">
        <f>CHOOSE($B$5,H7,H8,H9)</f>
        <v>0.25</v>
      </c>
      <c r="I10" s="40">
        <f>CHOOSE($B$5,I7,I8,I9)</f>
        <v>0.2</v>
      </c>
      <c r="J10" s="40">
        <f>CHOOSE($B$5,J7,J8,J9)</f>
        <v>0.15</v>
      </c>
      <c r="K10" s="40">
        <f>CHOOSE($B$5,K7,K8,K9)</f>
        <v>0.1</v>
      </c>
      <c r="L10" s="2"/>
      <c r="M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1">
        <v>0.52</v>
      </c>
      <c r="E11" s="31">
        <v>0.5</v>
      </c>
      <c r="F11" s="31">
        <v>0.48000000000000004</v>
      </c>
      <c r="G11" s="31">
        <v>0.47000000000000003</v>
      </c>
      <c r="H11" s="31">
        <v>0.46</v>
      </c>
      <c r="I11" s="31">
        <v>0.46</v>
      </c>
      <c r="J11" s="31">
        <v>0.46</v>
      </c>
      <c r="K11" s="31">
        <v>0.46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1">
        <v>0.56</v>
      </c>
      <c r="E12" s="31">
        <v>0.54</v>
      </c>
      <c r="F12" s="31">
        <v>0.52</v>
      </c>
      <c r="G12" s="31">
        <v>0.51</v>
      </c>
      <c r="H12" s="31">
        <v>0.5</v>
      </c>
      <c r="I12" s="31">
        <v>0.5</v>
      </c>
      <c r="J12" s="31">
        <v>0.5</v>
      </c>
      <c r="K12" s="31">
        <v>0.5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1">
        <v>0.5800000000000001</v>
      </c>
      <c r="E13" s="31">
        <v>0.56</v>
      </c>
      <c r="F13" s="31">
        <v>0.54</v>
      </c>
      <c r="G13" s="31">
        <v>0.53</v>
      </c>
      <c r="H13" s="31">
        <v>0.52</v>
      </c>
      <c r="I13" s="31">
        <v>0.52</v>
      </c>
      <c r="J13" s="31">
        <v>0.52</v>
      </c>
      <c r="K13" s="31">
        <v>0.52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0.572157240853251</v>
      </c>
      <c r="C14" s="40">
        <f>1-'三表-利润表'!C6/'三表-利润表'!C5</f>
        <v>0.6043823071481371</v>
      </c>
      <c r="D14" s="40">
        <f>CHOOSE($B$5,D11,D12,D13)</f>
        <v>0.56</v>
      </c>
      <c r="E14" s="40">
        <f>CHOOSE($B$5,E11,E12,E13)</f>
        <v>0.54</v>
      </c>
      <c r="F14" s="40">
        <f>CHOOSE($B$5,F11,F12,F13)</f>
        <v>0.52</v>
      </c>
      <c r="G14" s="40">
        <f>CHOOSE($B$5,G11,G12,G13)</f>
        <v>0.51</v>
      </c>
      <c r="H14" s="40">
        <f>CHOOSE($B$5,H11,H12,H13)</f>
        <v>0.5</v>
      </c>
      <c r="I14" s="40">
        <f>CHOOSE($B$5,I11,I12,I13)</f>
        <v>0.5</v>
      </c>
      <c r="J14" s="40">
        <f>CHOOSE($B$5,J11,J12,J13)</f>
        <v>0.5</v>
      </c>
      <c r="K14" s="40">
        <f>CHOOSE($B$5,K11,K12,K13)</f>
        <v>0.5</v>
      </c>
      <c r="L14" s="2"/>
      <c r="M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0.38040464831007</v>
      </c>
      <c r="C15" s="14">
        <f>'三表-利润表'!C8/'三表-利润表'!C5</f>
        <v>0.39729688519647827</v>
      </c>
      <c r="D15" s="31">
        <v>0.28</v>
      </c>
      <c r="E15" s="31">
        <v>0.27</v>
      </c>
      <c r="F15" s="31">
        <v>0.26</v>
      </c>
      <c r="G15" s="31">
        <v>0.25</v>
      </c>
      <c r="H15" s="31">
        <v>0.24</v>
      </c>
      <c r="I15" s="31">
        <v>0.23</v>
      </c>
      <c r="J15" s="31">
        <v>0.23</v>
      </c>
      <c r="K15" s="31">
        <v>0.23</v>
      </c>
      <c r="L15" s="2"/>
      <c r="M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0.05111421637125837</v>
      </c>
      <c r="C16" s="14">
        <f>'三表-利润表'!C16/'三表-利润表'!C15</f>
        <v>0.2449349859821581</v>
      </c>
      <c r="D16" s="31">
        <v>0.15</v>
      </c>
      <c r="E16" s="31">
        <v>0.15</v>
      </c>
      <c r="F16" s="31">
        <v>0.15</v>
      </c>
      <c r="G16" s="31">
        <v>0.15</v>
      </c>
      <c r="H16" s="31">
        <v>0.15</v>
      </c>
      <c r="I16" s="31">
        <v>0.15</v>
      </c>
      <c r="J16" s="31">
        <v>0.15</v>
      </c>
      <c r="K16" s="31">
        <v>0.15</v>
      </c>
      <c r="L16" s="2"/>
      <c r="M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</row>
    <row r="18" ht="20" customHeight="1">
      <c r="A18" s="32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12.615872010398823</v>
      </c>
      <c r="E19" s="25">
        <v>12.615872010398823</v>
      </c>
      <c r="F19" s="25">
        <v>12.615872010398823</v>
      </c>
      <c r="G19" s="25">
        <v>12.615872010398823</v>
      </c>
      <c r="H19" s="25">
        <v>12.615872010398823</v>
      </c>
      <c r="I19" s="25">
        <v>12.615872010398823</v>
      </c>
      <c r="J19" s="25">
        <v>12.615872010398823</v>
      </c>
      <c r="K19" s="25">
        <v>12.615872010398823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12.615872010398823</v>
      </c>
      <c r="E20" s="25">
        <v>12.615872010398823</v>
      </c>
      <c r="F20" s="25">
        <v>12.615872010398823</v>
      </c>
      <c r="G20" s="25">
        <v>12.615872010398823</v>
      </c>
      <c r="H20" s="25">
        <v>12.615872010398823</v>
      </c>
      <c r="I20" s="25">
        <v>12.615872010398823</v>
      </c>
      <c r="J20" s="25">
        <v>12.615872010398823</v>
      </c>
      <c r="K20" s="25">
        <v>12.615872010398823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12.615872010398823</v>
      </c>
      <c r="E21" s="25">
        <v>12.615872010398823</v>
      </c>
      <c r="F21" s="25">
        <v>12.615872010398823</v>
      </c>
      <c r="G21" s="25">
        <v>12.615872010398823</v>
      </c>
      <c r="H21" s="25">
        <v>12.615872010398823</v>
      </c>
      <c r="I21" s="25">
        <v>12.615872010398823</v>
      </c>
      <c r="J21" s="25">
        <v>12.615872010398823</v>
      </c>
      <c r="K21" s="25">
        <v>12.615872010398823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1">
        <f>'三表-资产负债表'!B7/'三表-利润表'!B5*365</f>
        <v>19.111888946909737</v>
      </c>
      <c r="C22" s="41">
        <f>'三表-资产负债表'!C7/'三表-利润表'!C5*365</f>
        <v>12.615872010398823</v>
      </c>
      <c r="D22" s="41">
        <f>CHOOSE($B$5,D19,D20,D21)</f>
        <v>12.615872010398823</v>
      </c>
      <c r="E22" s="41">
        <f>CHOOSE($B$5,E19,E20,E21)</f>
        <v>12.615872010398823</v>
      </c>
      <c r="F22" s="41">
        <f>CHOOSE($B$5,F19,F20,F21)</f>
        <v>12.615872010398823</v>
      </c>
      <c r="G22" s="41">
        <f>CHOOSE($B$5,G19,G20,G21)</f>
        <v>12.615872010398823</v>
      </c>
      <c r="H22" s="41">
        <f>CHOOSE($B$5,H19,H20,H21)</f>
        <v>12.615872010398823</v>
      </c>
      <c r="I22" s="41">
        <f>CHOOSE($B$5,I19,I20,I21)</f>
        <v>12.615872010398823</v>
      </c>
      <c r="J22" s="41">
        <f>CHOOSE($B$5,J19,J20,J21)</f>
        <v>12.615872010398823</v>
      </c>
      <c r="K22" s="41">
        <f>CHOOSE($B$5,K19,K20,K21)</f>
        <v>12.615872010398823</v>
      </c>
      <c r="L22" s="2"/>
      <c r="M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306.98457428734486</v>
      </c>
      <c r="C23" s="15">
        <f>'三表-资产负债表'!C8/'三表-利润表'!C6*365</f>
        <v>199.6694602245259</v>
      </c>
      <c r="D23" s="22">
        <v>199.6694602245259</v>
      </c>
      <c r="E23" s="22">
        <v>199.6694602245259</v>
      </c>
      <c r="F23" s="22">
        <v>199.6694602245259</v>
      </c>
      <c r="G23" s="22">
        <v>199.6694602245259</v>
      </c>
      <c r="H23" s="22">
        <v>199.6694602245259</v>
      </c>
      <c r="I23" s="22">
        <v>199.6694602245259</v>
      </c>
      <c r="J23" s="22">
        <v>199.6694602245259</v>
      </c>
      <c r="K23" s="22">
        <v>199.6694602245259</v>
      </c>
      <c r="L23" s="2"/>
      <c r="M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195.4448683411081</v>
      </c>
      <c r="C24" s="15">
        <f>'三表-资产负债表'!C13/'三表-利润表'!C6*365</f>
        <v>132.91027443210302</v>
      </c>
      <c r="D24" s="22">
        <v>132.91027443210302</v>
      </c>
      <c r="E24" s="22">
        <v>132.91027443210302</v>
      </c>
      <c r="F24" s="22">
        <v>132.91027443210302</v>
      </c>
      <c r="G24" s="22">
        <v>132.91027443210302</v>
      </c>
      <c r="H24" s="22">
        <v>132.91027443210302</v>
      </c>
      <c r="I24" s="22">
        <v>132.91027443210302</v>
      </c>
      <c r="J24" s="22">
        <v>132.91027443210302</v>
      </c>
      <c r="K24" s="22">
        <v>132.91027443210302</v>
      </c>
      <c r="L24" s="2"/>
      <c r="M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2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1">
        <v>0.06</v>
      </c>
      <c r="E26" s="31">
        <v>0.06</v>
      </c>
      <c r="F26" s="31">
        <v>0.05</v>
      </c>
      <c r="G26" s="31">
        <v>0.045</v>
      </c>
      <c r="H26" s="31">
        <v>0.045</v>
      </c>
      <c r="I26" s="31">
        <v>0.045</v>
      </c>
      <c r="J26" s="31">
        <v>0.045</v>
      </c>
      <c r="K26" s="31">
        <v>0.045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1">
        <v>0.06</v>
      </c>
      <c r="E27" s="31">
        <v>0.06</v>
      </c>
      <c r="F27" s="31">
        <v>0.05</v>
      </c>
      <c r="G27" s="31">
        <v>0.04</v>
      </c>
      <c r="H27" s="31">
        <v>0.04</v>
      </c>
      <c r="I27" s="31">
        <v>0.04</v>
      </c>
      <c r="J27" s="31">
        <v>0.04</v>
      </c>
      <c r="K27" s="31">
        <v>0.04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1">
        <v>0.06</v>
      </c>
      <c r="E28" s="31">
        <v>0.055</v>
      </c>
      <c r="F28" s="31">
        <v>0.05</v>
      </c>
      <c r="G28" s="31">
        <v>0.04</v>
      </c>
      <c r="H28" s="31">
        <v>0.04</v>
      </c>
      <c r="I28" s="31">
        <v>0.04</v>
      </c>
      <c r="J28" s="31">
        <v>0.04</v>
      </c>
      <c r="K28" s="31">
        <v>0.04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40">
        <f>-'三表-现金流量表'!B12/'三表-利润表'!B5</f>
        <v>0.024684376915080478</v>
      </c>
      <c r="C29" s="40">
        <f>-'三表-现金流量表'!C12/'三表-利润表'!C5</f>
        <v>0.029637856695227775</v>
      </c>
      <c r="D29" s="40">
        <f>CHOOSE($B$5,D26,D27,D28)</f>
        <v>0.06</v>
      </c>
      <c r="E29" s="40">
        <f>CHOOSE($B$5,E26,E27,E28)</f>
        <v>0.06</v>
      </c>
      <c r="F29" s="40">
        <f>CHOOSE($B$5,F26,F27,F28)</f>
        <v>0.05</v>
      </c>
      <c r="G29" s="40">
        <f>CHOOSE($B$5,G26,G27,G28)</f>
        <v>0.04</v>
      </c>
      <c r="H29" s="40">
        <f>CHOOSE($B$5,H26,H27,H28)</f>
        <v>0.04</v>
      </c>
      <c r="I29" s="40">
        <f>CHOOSE($B$5,I26,I27,I28)</f>
        <v>0.04</v>
      </c>
      <c r="J29" s="40">
        <f>CHOOSE($B$5,J26,J27,J28)</f>
        <v>0.04</v>
      </c>
      <c r="K29" s="40">
        <f>CHOOSE($B$5,K26,K27,K28)</f>
        <v>0.04</v>
      </c>
      <c r="L29" s="2"/>
      <c r="M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0.1659874895974557</v>
      </c>
      <c r="D30" s="31">
        <v>0.1659874895974557</v>
      </c>
      <c r="E30" s="31">
        <v>0.1659874895974557</v>
      </c>
      <c r="F30" s="31">
        <v>0.1659874895974557</v>
      </c>
      <c r="G30" s="31">
        <v>0.1659874895974557</v>
      </c>
      <c r="H30" s="31">
        <v>0.1659874895974557</v>
      </c>
      <c r="I30" s="31">
        <v>0.1659874895974557</v>
      </c>
      <c r="J30" s="31">
        <v>0.1659874895974557</v>
      </c>
      <c r="K30" s="31">
        <v>0.1659874895974557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0.05397431827387273</v>
      </c>
      <c r="D31" s="31">
        <v>0.05397431827387273</v>
      </c>
      <c r="E31" s="31">
        <v>0.05397431827387273</v>
      </c>
      <c r="F31" s="31">
        <v>0.05397431827387273</v>
      </c>
      <c r="G31" s="31">
        <v>0.05397431827387273</v>
      </c>
      <c r="H31" s="31">
        <v>0.05397431827387273</v>
      </c>
      <c r="I31" s="31">
        <v>0.05397431827387273</v>
      </c>
      <c r="J31" s="31">
        <v>0.05397431827387273</v>
      </c>
      <c r="K31" s="31">
        <v>0.05397431827387273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  <c r="I32" s="22">
        <v>0.0</v>
      </c>
      <c r="J32" s="22">
        <v>0.0</v>
      </c>
      <c r="K32" s="22">
        <v>0.0</v>
      </c>
    </row>
    <row r="33" ht="20" customHeight="1">
      <c r="A33" s="32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9">
        <v>0.025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9">
        <v>0.03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9">
        <v>0.035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30">
        <f>CHOOSE($B$5,D34,D35,D36)</f>
        <v>0.03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9">
        <v>0.01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9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9">
        <v>-0.005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30">
        <f>CHOOSE($B$5,D38,D39,D40)</f>
        <v>0.0</v>
      </c>
    </row>
    <row r="42" ht="20" customHeight="1">
      <c r="A42" s="32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20.566</v>
      </c>
      <c r="C43" s="23">
        <f>'三表-资产负债表'!C7</f>
        <v>58.7336</v>
      </c>
      <c r="D43" s="15">
        <f>'三表-利润表'!D5*D22/365</f>
        <v>81.05236799999999</v>
      </c>
      <c r="E43" s="15">
        <f>'三表-利润表'!E5*E22/365</f>
        <v>113.47331519999997</v>
      </c>
      <c r="F43" s="15">
        <f>'三表-利润表'!F5*F22/365</f>
        <v>153.18897551999999</v>
      </c>
      <c r="G43" s="15">
        <f>'三表-利润表'!G5*G22/365</f>
        <v>199.14566817600002</v>
      </c>
      <c r="H43" s="15">
        <f>'三表-利润表'!H5*H22/365</f>
        <v>248.93208522</v>
      </c>
      <c r="I43" s="15">
        <f>'三表-利润表'!I5*I22/365</f>
        <v>298.718502264</v>
      </c>
      <c r="J43" s="15">
        <f>'三表-利润表'!J5*J22/365</f>
        <v>343.5262776035999</v>
      </c>
      <c r="K43" s="15">
        <f>'三表-利润表'!K5*K22/365</f>
        <v>377.87890536396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141.3341</v>
      </c>
      <c r="C44" s="23">
        <f>'三表-资产负债表'!C8</f>
        <v>367.75339999999994</v>
      </c>
      <c r="D44" s="15">
        <f>'三表-利润表'!D6*D23/365</f>
        <v>564.4334632010846</v>
      </c>
      <c r="E44" s="15">
        <f>'三表-利润表'!E6*E23/365</f>
        <v>826.1253415943149</v>
      </c>
      <c r="F44" s="15">
        <f>'三表-利润表'!F6*F23/365</f>
        <v>1163.7591768546</v>
      </c>
      <c r="G44" s="15">
        <f>'三表-利润表'!G6*G23/365</f>
        <v>1544.4054076174589</v>
      </c>
      <c r="H44" s="15">
        <f>'三表-利润表'!H6*H23/365</f>
        <v>1969.9048566549222</v>
      </c>
      <c r="I44" s="15">
        <f>'三表-利润表'!I6*I23/365</f>
        <v>2363.885827985907</v>
      </c>
      <c r="J44" s="15">
        <f>'三表-利润表'!J6*J23/365</f>
        <v>2718.468702183792</v>
      </c>
      <c r="K44" s="15">
        <f>'三表-利润表'!K6*K23/365</f>
        <v>2990.3155724021713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89.9818</v>
      </c>
      <c r="C45" s="23">
        <f>'三表-资产负债表'!C13</f>
        <v>244.7956</v>
      </c>
      <c r="D45" s="15">
        <f>'三表-利润表'!D6*D24/365</f>
        <v>375.715977838376</v>
      </c>
      <c r="E45" s="15">
        <f>'三表-利润表'!E6*E24/365</f>
        <v>549.9115675634414</v>
      </c>
      <c r="F45" s="15">
        <f>'三表-利润表'!F6*F24/365</f>
        <v>774.6580343067609</v>
      </c>
      <c r="G45" s="15">
        <f>'三表-利润表'!G6*G24/365</f>
        <v>1028.035766361264</v>
      </c>
      <c r="H45" s="15">
        <f>'三表-利润表'!H6*H24/365</f>
        <v>1311.2701101546736</v>
      </c>
      <c r="I45" s="15">
        <f>'三表-利润表'!I6*I24/365</f>
        <v>1573.5241321856083</v>
      </c>
      <c r="J45" s="15">
        <f>'三表-利润表'!J6*J24/365</f>
        <v>1809.5527520134494</v>
      </c>
      <c r="K45" s="15">
        <f>'三表-利润表'!K6*K24/365</f>
        <v>1990.5080272147943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71.9183</v>
      </c>
      <c r="C46" s="24">
        <f>C43+C44-C45</f>
        <v>181.69139999999996</v>
      </c>
      <c r="D46" s="24">
        <f>D43+D44-D45</f>
        <v>269.7698533627086</v>
      </c>
      <c r="E46" s="24">
        <f>E43+E44-E45</f>
        <v>389.68708923087354</v>
      </c>
      <c r="F46" s="24">
        <f>F43+F44-F45</f>
        <v>542.290118067839</v>
      </c>
      <c r="G46" s="24">
        <f>G43+G44-G45</f>
        <v>715.515309432195</v>
      </c>
      <c r="H46" s="24">
        <f>H43+H44-H45</f>
        <v>907.5668317202485</v>
      </c>
      <c r="I46" s="24">
        <f>I43+I44-I45</f>
        <v>1089.0801980642987</v>
      </c>
      <c r="J46" s="24">
        <f>J43+J44-J45</f>
        <v>1252.4422277739425</v>
      </c>
      <c r="K46" s="24">
        <f>K43+K44-K45</f>
        <v>1377.6864505513367</v>
      </c>
      <c r="L46" s="2"/>
      <c r="M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109.77309999999996</v>
      </c>
      <c r="D47" s="15">
        <f>D46-C46</f>
        <v>88.07845336270864</v>
      </c>
      <c r="E47" s="15">
        <f>E46-D46</f>
        <v>119.91723586816494</v>
      </c>
      <c r="F47" s="15">
        <f>F46-E46</f>
        <v>152.60302883696545</v>
      </c>
      <c r="G47" s="15">
        <f>G46-F46</f>
        <v>173.22519136435596</v>
      </c>
      <c r="H47" s="15">
        <f>H46-G46</f>
        <v>192.05152228805355</v>
      </c>
      <c r="I47" s="15">
        <f>I46-H46</f>
        <v>181.51336634405016</v>
      </c>
      <c r="J47" s="15">
        <f>J46-I46</f>
        <v>163.36202970964382</v>
      </c>
      <c r="K47" s="15">
        <f>K46-J46</f>
        <v>125.24422277739427</v>
      </c>
    </row>
    <row r="48" ht="20" customHeight="1">
      <c r="A48" s="32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36.175399999999996</v>
      </c>
      <c r="E49" s="15">
        <f>D52</f>
        <v>159.1930559751753</v>
      </c>
      <c r="F49" s="15">
        <f>E52</f>
        <v>313.40024798141144</v>
      </c>
      <c r="G49" s="15">
        <f>F52</f>
        <v>464.5898812747725</v>
      </c>
      <c r="H49" s="15">
        <f>G52</f>
        <v>598.8123330324092</v>
      </c>
      <c r="I49" s="15">
        <f>H52</f>
        <v>763.5901769358843</v>
      </c>
      <c r="J49" s="15">
        <f>I52</f>
        <v>953.8516001492442</v>
      </c>
      <c r="K49" s="15">
        <f>J52</f>
        <v>1160.0831833208129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140.69949803999995</v>
      </c>
      <c r="E50" s="15">
        <f>'三表-利润表'!E5*E29</f>
        <v>196.97929725599994</v>
      </c>
      <c r="F50" s="15">
        <f>'三表-利润表'!F5*F29</f>
        <v>221.60170941299998</v>
      </c>
      <c r="G50" s="15">
        <f>'三表-利润表'!G5*G29</f>
        <v>230.46577778952</v>
      </c>
      <c r="H50" s="15">
        <f>'三表-利润表'!H5*H29</f>
        <v>288.0822222369</v>
      </c>
      <c r="I50" s="15">
        <f>'三表-利润表'!I5*I29</f>
        <v>345.69866668427994</v>
      </c>
      <c r="J50" s="15">
        <f>'三表-利润表'!J5*J29</f>
        <v>397.5534666869219</v>
      </c>
      <c r="K50" s="15">
        <f>'三表-利润表'!K5*K29</f>
        <v>437.3088133556141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17.681842064824664</v>
      </c>
      <c r="E51" s="15">
        <f>(E49+0.5*E50)*E30</f>
        <v>42.772105249763804</v>
      </c>
      <c r="F51" s="15">
        <f>(F49+0.5*F50)*F30</f>
        <v>70.41207611963894</v>
      </c>
      <c r="G51" s="15">
        <f>(G49+0.5*G50)*G30</f>
        <v>96.24332603188323</v>
      </c>
      <c r="H51" s="15">
        <f>(H49+0.5*H50)*H30</f>
        <v>123.30437833342489</v>
      </c>
      <c r="I51" s="15">
        <f>(I49+0.5*I50)*I30</f>
        <v>155.43724347092007</v>
      </c>
      <c r="J51" s="15">
        <f>(J49+0.5*J50)*J30</f>
        <v>191.3218835153531</v>
      </c>
      <c r="K51" s="15">
        <f>(K49+0.5*K50)*K30</f>
        <v>228.8531913775171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13.210700000000001</v>
      </c>
      <c r="C52" s="21">
        <f>'三表-资产负债表'!C9</f>
        <v>36.175399999999996</v>
      </c>
      <c r="D52" s="24">
        <f>MAX(0,D49+D50-D51)</f>
        <v>159.1930559751753</v>
      </c>
      <c r="E52" s="24">
        <f>MAX(0,E49+E50-E51)</f>
        <v>313.40024798141144</v>
      </c>
      <c r="F52" s="24">
        <f>MAX(0,F49+F50-F51)</f>
        <v>464.5898812747725</v>
      </c>
      <c r="G52" s="24">
        <f>MAX(0,G49+G50-G51)</f>
        <v>598.8123330324092</v>
      </c>
      <c r="H52" s="24">
        <f>MAX(0,H49+H50-H51)</f>
        <v>763.5901769358843</v>
      </c>
      <c r="I52" s="24">
        <f>MAX(0,I49+I50-I51)</f>
        <v>953.8516001492442</v>
      </c>
      <c r="J52" s="24">
        <f>MAX(0,J49+J50-J51)</f>
        <v>1160.0831833208129</v>
      </c>
      <c r="K52" s="24">
        <f>MAX(0,K49+K50-K51)</f>
        <v>1368.53880529891</v>
      </c>
      <c r="L52" s="2"/>
      <c r="M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2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30.2472</v>
      </c>
      <c r="E54" s="15">
        <f>D56</f>
        <v>30.2472</v>
      </c>
      <c r="F54" s="15">
        <f>E56</f>
        <v>30.2472</v>
      </c>
      <c r="G54" s="15">
        <f>F56</f>
        <v>30.2472</v>
      </c>
      <c r="H54" s="15">
        <f>G56</f>
        <v>30.2472</v>
      </c>
      <c r="I54" s="15">
        <f>H56</f>
        <v>30.2472</v>
      </c>
      <c r="J54" s="15">
        <f>I56</f>
        <v>30.2472</v>
      </c>
      <c r="K54" s="15">
        <f>J56</f>
        <v>30.2472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  <c r="I55" s="15">
        <f>MIN(MAX(0,I32),I54)</f>
        <v>0.0</v>
      </c>
      <c r="J55" s="15">
        <f>MIN(MAX(0,J32),J54)</f>
        <v>0.0</v>
      </c>
      <c r="K55" s="15">
        <f>MIN(MAX(0,K32),K54)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6.292400000000001</v>
      </c>
      <c r="C56" s="21">
        <f>'三表-资产负债表'!C14</f>
        <v>30.2472</v>
      </c>
      <c r="D56" s="24">
        <f>D54-D55</f>
        <v>30.2472</v>
      </c>
      <c r="E56" s="24">
        <f>E54-E55</f>
        <v>30.2472</v>
      </c>
      <c r="F56" s="24">
        <f>F54-F55</f>
        <v>30.2472</v>
      </c>
      <c r="G56" s="24">
        <f>G54-G55</f>
        <v>30.2472</v>
      </c>
      <c r="H56" s="24">
        <f>H54-H55</f>
        <v>30.2472</v>
      </c>
      <c r="I56" s="24">
        <f>I54-I55</f>
        <v>30.2472</v>
      </c>
      <c r="J56" s="24">
        <f>J54-J55</f>
        <v>30.2472</v>
      </c>
      <c r="K56" s="24">
        <f>K54-K55</f>
        <v>30.2472</v>
      </c>
      <c r="L56" s="2"/>
      <c r="M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1.6325719996934833</v>
      </c>
      <c r="E57" s="15">
        <f>MAX(0,E54-0.5*E55)*E31</f>
        <v>1.6325719996934833</v>
      </c>
      <c r="F57" s="15">
        <f>MAX(0,F54-0.5*F55)*F31</f>
        <v>1.6325719996934833</v>
      </c>
      <c r="G57" s="15">
        <f>MAX(0,G54-0.5*G55)*G31</f>
        <v>1.6325719996934833</v>
      </c>
      <c r="H57" s="15">
        <f>MAX(0,H54-0.5*H55)*H31</f>
        <v>1.6325719996934833</v>
      </c>
      <c r="I57" s="15">
        <f>MAX(0,I54-0.5*I55)*I31</f>
        <v>1.6325719996934833</v>
      </c>
      <c r="J57" s="15">
        <f>MAX(0,J54-0.5*J55)*J31</f>
        <v>1.6325719996934833</v>
      </c>
      <c r="K57" s="15">
        <f>MAX(0,K54-0.5*K55)*K31</f>
        <v>1.6325719996934833</v>
      </c>
    </row>
    <row r="58" ht="20" customHeight="1">
      <c r="A58" s="32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0.0</v>
      </c>
      <c r="E59" s="15">
        <f>MAX(0,'三表-利润表'!E17)*E17</f>
        <v>0.0</v>
      </c>
      <c r="F59" s="15">
        <f>MAX(0,'三表-利润表'!F17)*F17</f>
        <v>0.0</v>
      </c>
      <c r="G59" s="15">
        <f>MAX(0,'三表-利润表'!G17)*G17</f>
        <v>0.0</v>
      </c>
      <c r="H59" s="15">
        <f>MAX(0,'三表-利润表'!H17)*H17</f>
        <v>0.0</v>
      </c>
      <c r="I59" s="15">
        <f>MAX(0,'三表-利润表'!I17)*I17</f>
        <v>0.0</v>
      </c>
      <c r="J59" s="15">
        <f>MAX(0,'三表-利润表'!J17)*J17</f>
        <v>0.0</v>
      </c>
      <c r="K59" s="15">
        <f>MAX(0,'三表-利润表'!K17)*K17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392.7707</v>
      </c>
      <c r="C5" s="20">
        <v>1699.2693</v>
      </c>
      <c r="D5" s="24">
        <f>C5*(1+'三表-假设'!D10)</f>
        <v>2344.9916339999995</v>
      </c>
      <c r="E5" s="24">
        <f>D5*(1+'三表-假设'!E10)</f>
        <v>3282.9882875999992</v>
      </c>
      <c r="F5" s="24">
        <f>E5*(1+'三表-假设'!F10)</f>
        <v>4432.03418826</v>
      </c>
      <c r="G5" s="24">
        <f>F5*(1+'三表-假设'!G10)</f>
        <v>5761.644444738</v>
      </c>
      <c r="H5" s="24">
        <f>G5*(1+'三表-假设'!H10)</f>
        <v>7202.0555559224995</v>
      </c>
      <c r="I5" s="24">
        <f>H5*(1+'三表-假设'!I10)</f>
        <v>8642.466667106999</v>
      </c>
      <c r="J5" s="24">
        <f>I5*(1+'三表-假设'!J10)</f>
        <v>9938.836667173047</v>
      </c>
      <c r="K5" s="24">
        <f>J5*(1+'三表-假设'!K10)</f>
        <v>10932.720333890353</v>
      </c>
      <c r="L5" s="2"/>
      <c r="M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168.0441</v>
      </c>
      <c r="C6" s="22">
        <v>672.261</v>
      </c>
      <c r="D6" s="15">
        <f>D5*(1-'三表-假设'!D14)</f>
        <v>1031.7963189599996</v>
      </c>
      <c r="E6" s="15">
        <f>E5*(1-'三表-假设'!E14)</f>
        <v>1510.1746122959996</v>
      </c>
      <c r="F6" s="15">
        <f>F5*(1-'三表-假设'!F14)</f>
        <v>2127.3764103647995</v>
      </c>
      <c r="G6" s="15">
        <f>G5*(1-'三表-假设'!G14)</f>
        <v>2823.2057779216198</v>
      </c>
      <c r="H6" s="15">
        <f>H5*(1-'三表-假设'!H14)</f>
        <v>3601.0277779612497</v>
      </c>
      <c r="I6" s="15">
        <f>I5*(1-'三表-假设'!I14)</f>
        <v>4321.2333335534995</v>
      </c>
      <c r="J6" s="15">
        <f>J5*(1-'三表-假设'!J14)</f>
        <v>4969.418333586524</v>
      </c>
      <c r="K6" s="15">
        <f>K5*(1-'三表-假设'!K14)</f>
        <v>5466.360166945176</v>
      </c>
      <c r="L6" s="2"/>
      <c r="M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224.7266</v>
      </c>
      <c r="C7" s="24">
        <f>C5-C6</f>
        <v>1027.0083</v>
      </c>
      <c r="D7" s="24">
        <f>D5-D6</f>
        <v>1313.19531504</v>
      </c>
      <c r="E7" s="24">
        <f>E5-E6</f>
        <v>1772.8136753039996</v>
      </c>
      <c r="F7" s="24">
        <f>F5-F6</f>
        <v>2304.6577778952</v>
      </c>
      <c r="G7" s="24">
        <f>G5-G6</f>
        <v>2938.43866681638</v>
      </c>
      <c r="H7" s="24">
        <f>H5-H6</f>
        <v>3601.0277779612497</v>
      </c>
      <c r="I7" s="24">
        <f>I5-I6</f>
        <v>4321.2333335534995</v>
      </c>
      <c r="J7" s="24">
        <f>J5-J6</f>
        <v>4969.418333586524</v>
      </c>
      <c r="K7" s="24">
        <f>K5-K6</f>
        <v>5466.360166945176</v>
      </c>
      <c r="L7" s="2"/>
      <c r="M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149.4118</v>
      </c>
      <c r="C8" s="22">
        <v>675.1143999999999</v>
      </c>
      <c r="D8" s="15">
        <f>D5*'三表-假设'!D15</f>
        <v>656.59765752</v>
      </c>
      <c r="E8" s="15">
        <f>E5*'三表-假设'!E15</f>
        <v>886.4068376519998</v>
      </c>
      <c r="F8" s="15">
        <f>F5*'三表-假设'!F15</f>
        <v>1152.3288889476</v>
      </c>
      <c r="G8" s="15">
        <f>G5*'三表-假设'!G15</f>
        <v>1440.4111111845</v>
      </c>
      <c r="H8" s="15">
        <f>H5*'三表-假设'!H15</f>
        <v>1728.4933334213997</v>
      </c>
      <c r="I8" s="15">
        <f>I5*'三表-假设'!I15</f>
        <v>1987.7673334346098</v>
      </c>
      <c r="J8" s="15">
        <f>J5*'三表-假设'!J15</f>
        <v>2285.932433449801</v>
      </c>
      <c r="K8" s="15">
        <f>K5*'三表-假设'!K15</f>
        <v>2514.5256767947812</v>
      </c>
    </row>
    <row r="9" ht="20" customHeight="1">
      <c r="A9" s="19" t="inlineStr">
        <is>
          <t xml:space="preserve">EBITDA</t>
        </is>
      </c>
      <c r="B9" s="24">
        <f>B7-B8</f>
        <v>75.31479999999999</v>
      </c>
      <c r="C9" s="24">
        <f>C7-C8</f>
        <v>351.89390000000003</v>
      </c>
      <c r="D9" s="24">
        <f>D7-D8</f>
        <v>656.59765752</v>
      </c>
      <c r="E9" s="24">
        <f>E7-E8</f>
        <v>886.4068376519998</v>
      </c>
      <c r="F9" s="24">
        <f>F7-F8</f>
        <v>1152.3288889476</v>
      </c>
      <c r="G9" s="24">
        <f>G7-G8</f>
        <v>1498.0275556318802</v>
      </c>
      <c r="H9" s="24">
        <f>H7-H8</f>
        <v>1872.53444453985</v>
      </c>
      <c r="I9" s="24">
        <f>I7-I8</f>
        <v>2333.4660001188895</v>
      </c>
      <c r="J9" s="24">
        <f>J7-J8</f>
        <v>2683.4859001367226</v>
      </c>
      <c r="K9" s="24">
        <f>K7-K8</f>
        <v>2951.834490150395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2.1122</v>
      </c>
      <c r="C10" s="22">
        <v>6.3726</v>
      </c>
      <c r="D10" s="23">
        <f>'三表-假设'!D51</f>
        <v>17.681842064824664</v>
      </c>
      <c r="E10" s="23">
        <f>'三表-假设'!E51</f>
        <v>42.772105249763804</v>
      </c>
      <c r="F10" s="23">
        <f>'三表-假设'!F51</f>
        <v>70.41207611963894</v>
      </c>
      <c r="G10" s="23">
        <f>'三表-假设'!G51</f>
        <v>96.24332603188323</v>
      </c>
      <c r="H10" s="23">
        <f>'三表-假设'!H51</f>
        <v>123.30437833342489</v>
      </c>
      <c r="I10" s="23">
        <f>'三表-假设'!I51</f>
        <v>155.43724347092007</v>
      </c>
      <c r="J10" s="23">
        <f>'三表-假设'!J51</f>
        <v>191.3218835153531</v>
      </c>
      <c r="K10" s="23">
        <f>'三表-假设'!K51</f>
        <v>228.8531913775171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73.20259999999999</v>
      </c>
      <c r="C11" s="24">
        <f>C9-C10</f>
        <v>345.52130000000005</v>
      </c>
      <c r="D11" s="24">
        <f>D9-D10</f>
        <v>638.9158154551753</v>
      </c>
      <c r="E11" s="24">
        <f>E9-E10</f>
        <v>843.634732402236</v>
      </c>
      <c r="F11" s="24">
        <f>F9-F10</f>
        <v>1081.9168128279612</v>
      </c>
      <c r="G11" s="24">
        <f>G9-G10</f>
        <v>1401.784229599997</v>
      </c>
      <c r="H11" s="24">
        <f>H9-H10</f>
        <v>1749.2300662064251</v>
      </c>
      <c r="I11" s="24">
        <f>I9-I10</f>
        <v>2178.028756647969</v>
      </c>
      <c r="J11" s="24">
        <f>J9-J10</f>
        <v>2492.1640166213697</v>
      </c>
      <c r="K11" s="24">
        <f>K9-K10</f>
        <v>2722.981298772878</v>
      </c>
      <c r="L11" s="2"/>
      <c r="M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-17.1864</v>
      </c>
      <c r="C12" s="22">
        <v>0.9861</v>
      </c>
      <c r="D12" s="23">
        <f>'三表-假设'!D57</f>
        <v>1.6325719996934833</v>
      </c>
      <c r="E12" s="23">
        <f>'三表-假设'!E57</f>
        <v>1.6325719996934833</v>
      </c>
      <c r="F12" s="23">
        <f>'三表-假设'!F57</f>
        <v>1.6325719996934833</v>
      </c>
      <c r="G12" s="23">
        <f>'三表-假设'!G57</f>
        <v>1.6325719996934833</v>
      </c>
      <c r="H12" s="23">
        <f>'三表-假设'!H57</f>
        <v>1.6325719996934833</v>
      </c>
      <c r="I12" s="23">
        <f>'三表-假设'!I57</f>
        <v>1.6325719996934833</v>
      </c>
      <c r="J12" s="23">
        <f>'三表-假设'!J57</f>
        <v>1.6325719996934833</v>
      </c>
      <c r="K12" s="23">
        <f>'三表-假设'!K57</f>
        <v>1.6325719996934833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90.38899999999998</v>
      </c>
      <c r="C13" s="15">
        <f>C11-C12</f>
        <v>344.53520000000003</v>
      </c>
      <c r="D13" s="15">
        <f>D11-D12</f>
        <v>637.2832434554819</v>
      </c>
      <c r="E13" s="15">
        <f>E11-E12</f>
        <v>842.0021604025425</v>
      </c>
      <c r="F13" s="15">
        <f>F11-F12</f>
        <v>1080.2842408282677</v>
      </c>
      <c r="G13" s="15">
        <f>G11-G12</f>
        <v>1400.1516576003035</v>
      </c>
      <c r="H13" s="15">
        <f>H11-H12</f>
        <v>1747.5974942067317</v>
      </c>
      <c r="I13" s="15">
        <f>I11-I12</f>
        <v>2176.3961846482757</v>
      </c>
      <c r="J13" s="15">
        <f>J11-J12</f>
        <v>2490.531444621676</v>
      </c>
      <c r="K13" s="15">
        <f>K11-K12</f>
        <v>2721.3487267731844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10.2288</v>
      </c>
      <c r="C14" s="22">
        <v>23.9238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  <c r="I14" s="22">
        <v>0.0</v>
      </c>
      <c r="J14" s="22">
        <v>0.0</v>
      </c>
      <c r="K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100.61779999999999</v>
      </c>
      <c r="C15" s="24">
        <f>C13+C14</f>
        <v>368.45900000000006</v>
      </c>
      <c r="D15" s="24">
        <f>D13+D14</f>
        <v>637.2832434554819</v>
      </c>
      <c r="E15" s="24">
        <f>E13+E14</f>
        <v>842.0021604025425</v>
      </c>
      <c r="F15" s="24">
        <f>F13+F14</f>
        <v>1080.2842408282677</v>
      </c>
      <c r="G15" s="24">
        <f>G13+G14</f>
        <v>1400.1516576003035</v>
      </c>
      <c r="H15" s="24">
        <f>H13+H14</f>
        <v>1747.5974942067317</v>
      </c>
      <c r="I15" s="24">
        <f>I13+I14</f>
        <v>2176.3961846482757</v>
      </c>
      <c r="J15" s="24">
        <f>J13+J14</f>
        <v>2490.531444621676</v>
      </c>
      <c r="K15" s="24">
        <f>K13+K14</f>
        <v>2721.3487267731844</v>
      </c>
      <c r="L15" s="2"/>
      <c r="M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5.143</v>
      </c>
      <c r="C16" s="22">
        <v>90.2485</v>
      </c>
      <c r="D16" s="15">
        <f>MAX(D15,0)*'三表-假设'!D16</f>
        <v>95.59248651832227</v>
      </c>
      <c r="E16" s="15">
        <f>MAX(E15,0)*'三表-假设'!E16</f>
        <v>126.30032406038137</v>
      </c>
      <c r="F16" s="15">
        <f>MAX(F15,0)*'三表-假设'!F16</f>
        <v>162.04263612424015</v>
      </c>
      <c r="G16" s="15">
        <f>MAX(G15,0)*'三表-假设'!G16</f>
        <v>210.0227486400455</v>
      </c>
      <c r="H16" s="15">
        <f>MAX(H15,0)*'三表-假设'!H16</f>
        <v>262.1396241310097</v>
      </c>
      <c r="I16" s="15">
        <f>MAX(I15,0)*'三表-假设'!I16</f>
        <v>326.4594276972413</v>
      </c>
      <c r="J16" s="15">
        <f>MAX(J15,0)*'三表-假设'!J16</f>
        <v>373.57971669325144</v>
      </c>
      <c r="K16" s="15">
        <f>MAX(K15,0)*'三表-假设'!K16</f>
        <v>408.2023090159776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95.47479999999999</v>
      </c>
      <c r="C17" s="8">
        <f>C15-C16</f>
        <v>278.2105</v>
      </c>
      <c r="D17" s="8">
        <f>D15-D16</f>
        <v>541.6907569371596</v>
      </c>
      <c r="E17" s="8">
        <f>E15-E16</f>
        <v>715.7018363421611</v>
      </c>
      <c r="F17" s="8">
        <f>F15-F16</f>
        <v>918.2416047040275</v>
      </c>
      <c r="G17" s="8">
        <f>G15-G16</f>
        <v>1190.1289089602578</v>
      </c>
      <c r="H17" s="8">
        <f>H15-H16</f>
        <v>1485.457870075722</v>
      </c>
      <c r="I17" s="8">
        <f>I15-I16</f>
        <v>1849.9367569510343</v>
      </c>
      <c r="J17" s="8">
        <f>J15-J16</f>
        <v>2116.9517279284246</v>
      </c>
      <c r="K17" s="8">
        <f>K15-K16</f>
        <v>2313.1464177572066</v>
      </c>
      <c r="L17" s="2"/>
      <c r="M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2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3.326364721197381</v>
      </c>
      <c r="D20" s="14">
        <f>D5/C5-1</f>
        <v>0.37999999999999967</v>
      </c>
      <c r="E20" s="14">
        <f>E5/D5-1</f>
        <v>0.3999999999999999</v>
      </c>
      <c r="F20" s="14">
        <f>F5/E5-1</f>
        <v>0.3500000000000001</v>
      </c>
      <c r="G20" s="14">
        <f>G5/F5-1</f>
        <v>0.30000000000000004</v>
      </c>
      <c r="H20" s="14">
        <f>H5/G5-1</f>
        <v>0.25</v>
      </c>
      <c r="I20" s="14">
        <f>I5/H5-1</f>
        <v>0.19999999999999996</v>
      </c>
      <c r="J20" s="14">
        <f>J5/I5-1</f>
        <v>0.1499999999999999</v>
      </c>
      <c r="K20" s="14">
        <f>K5/J5-1</f>
        <v>0.10000000000000009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0.572157240853251</v>
      </c>
      <c r="C21" s="14">
        <f>C7/C5</f>
        <v>0.6043823071481371</v>
      </c>
      <c r="D21" s="14">
        <f>D7/D5</f>
        <v>0.56</v>
      </c>
      <c r="E21" s="14">
        <f>E7/E5</f>
        <v>0.54</v>
      </c>
      <c r="F21" s="14">
        <f>F7/F5</f>
        <v>0.52</v>
      </c>
      <c r="G21" s="14">
        <f>G7/G5</f>
        <v>0.51</v>
      </c>
      <c r="H21" s="14">
        <f>H7/H5</f>
        <v>0.5</v>
      </c>
      <c r="I21" s="14">
        <f>I7/I5</f>
        <v>0.5</v>
      </c>
      <c r="J21" s="14">
        <f>J7/J5</f>
        <v>0.5</v>
      </c>
      <c r="K21" s="14">
        <f>K7/K5</f>
        <v>0.5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0.18637490016439615</v>
      </c>
      <c r="C22" s="14">
        <f>C11/C5</f>
        <v>0.2033352217920962</v>
      </c>
      <c r="D22" s="14">
        <f>D11/D5</f>
        <v>0.2724597419417384</v>
      </c>
      <c r="E22" s="14">
        <f>E11/E5</f>
        <v>0.25697159371194955</v>
      </c>
      <c r="F22" s="14">
        <f>F11/F5</f>
        <v>0.24411292126171927</v>
      </c>
      <c r="G22" s="14">
        <f>G11/G5</f>
        <v>0.24329585816081029</v>
      </c>
      <c r="H22" s="14">
        <f>H11/H5</f>
        <v>0.24287927975895338</v>
      </c>
      <c r="I22" s="14">
        <f>I11/I5</f>
        <v>0.2520147129913141</v>
      </c>
      <c r="J22" s="14">
        <f>J11/J5</f>
        <v>0.2507500726772913</v>
      </c>
      <c r="K22" s="14">
        <f>K11/K5</f>
        <v>0.24906713202311642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0.2430802501306742</v>
      </c>
      <c r="C23" s="14">
        <f>C17/C5</f>
        <v>0.1637236075529641</v>
      </c>
      <c r="D23" s="14">
        <f>D17/D5</f>
        <v>0.230999014701457</v>
      </c>
      <c r="E23" s="14">
        <f>E17/E5</f>
        <v>0.21800316469157094</v>
      </c>
      <c r="F23" s="14">
        <f>F17/F5</f>
        <v>0.20718287939573088</v>
      </c>
      <c r="G23" s="14">
        <f>G17/G5</f>
        <v>0.20656063045458833</v>
      </c>
      <c r="H23" s="14">
        <f>H17/H5</f>
        <v>0.20625470860943007</v>
      </c>
      <c r="I23" s="14">
        <f>I17/I5</f>
        <v>0.21405194005455006</v>
      </c>
      <c r="J23" s="14">
        <f>J17/J5</f>
        <v>0.21299793917737855</v>
      </c>
      <c r="K23" s="14">
        <f>K17/K5</f>
        <v>0.21158013258481342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0.05111421637125837</v>
      </c>
      <c r="C24" s="14">
        <f>C16/C15</f>
        <v>0.2449349859821581</v>
      </c>
      <c r="D24" s="14">
        <f>D16/D15</f>
        <v>0.15</v>
      </c>
      <c r="E24" s="14">
        <f>E16/E15</f>
        <v>0.15</v>
      </c>
      <c r="F24" s="14">
        <f>F16/F15</f>
        <v>0.15</v>
      </c>
      <c r="G24" s="14">
        <f>G16/G15</f>
        <v>0.15</v>
      </c>
      <c r="H24" s="14">
        <f>H16/H15</f>
        <v>0.15</v>
      </c>
      <c r="I24" s="14">
        <f>I16/I15</f>
        <v>0.15</v>
      </c>
      <c r="J24" s="14">
        <f>J16/J15</f>
        <v>0.15</v>
      </c>
      <c r="K24" s="14">
        <f>K16/K15</f>
        <v>0.15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565.9428</v>
      </c>
      <c r="C6" s="22">
        <v>1419.2579</v>
      </c>
      <c r="D6" s="23">
        <f>'三表-现金流量表'!D21</f>
        <v>1749.8525475992756</v>
      </c>
      <c r="E6" s="23">
        <f>'三表-现金流量表'!E21</f>
        <v>2191.4299560670356</v>
      </c>
      <c r="F6" s="23">
        <f>'三表-现金流量表'!F21</f>
        <v>2805.878898640736</v>
      </c>
      <c r="G6" s="23">
        <f>'三表-现金流量表'!G21</f>
        <v>3688.5601644790013</v>
      </c>
      <c r="H6" s="23">
        <f>'三表-现金流量表'!H21</f>
        <v>4817.188668363195</v>
      </c>
      <c r="I6" s="23">
        <f>'三表-现金流量表'!I21</f>
        <v>6295.3506357568185</v>
      </c>
      <c r="J6" s="23">
        <f>'三表-现金流量表'!J21</f>
        <v>8042.70875080403</v>
      </c>
      <c r="K6" s="23">
        <f>'三表-现金流量表'!K21</f>
        <v>10022.155323805746</v>
      </c>
      <c r="L6" s="2"/>
      <c r="M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20.566</v>
      </c>
      <c r="C7" s="22">
        <v>58.7336</v>
      </c>
      <c r="D7" s="23">
        <f>'三表-假设'!D43</f>
        <v>81.05236799999999</v>
      </c>
      <c r="E7" s="23">
        <f>'三表-假设'!E43</f>
        <v>113.47331519999997</v>
      </c>
      <c r="F7" s="23">
        <f>'三表-假设'!F43</f>
        <v>153.18897551999999</v>
      </c>
      <c r="G7" s="23">
        <f>'三表-假设'!G43</f>
        <v>199.14566817600002</v>
      </c>
      <c r="H7" s="23">
        <f>'三表-假设'!H43</f>
        <v>248.93208522</v>
      </c>
      <c r="I7" s="23">
        <f>'三表-假设'!I43</f>
        <v>298.718502264</v>
      </c>
      <c r="J7" s="23">
        <f>'三表-假设'!J43</f>
        <v>343.5262776035999</v>
      </c>
      <c r="K7" s="23">
        <f>'三表-假设'!K43</f>
        <v>377.87890536396</v>
      </c>
      <c r="L7" s="2"/>
      <c r="M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141.3341</v>
      </c>
      <c r="C8" s="22">
        <v>367.75339999999994</v>
      </c>
      <c r="D8" s="23">
        <f>'三表-假设'!D44</f>
        <v>564.4334632010846</v>
      </c>
      <c r="E8" s="23">
        <f>'三表-假设'!E44</f>
        <v>826.1253415943149</v>
      </c>
      <c r="F8" s="23">
        <f>'三表-假设'!F44</f>
        <v>1163.7591768546</v>
      </c>
      <c r="G8" s="23">
        <f>'三表-假设'!G44</f>
        <v>1544.4054076174589</v>
      </c>
      <c r="H8" s="23">
        <f>'三表-假设'!H44</f>
        <v>1969.9048566549222</v>
      </c>
      <c r="I8" s="23">
        <f>'三表-假设'!I44</f>
        <v>2363.885827985907</v>
      </c>
      <c r="J8" s="23">
        <f>'三表-假设'!J44</f>
        <v>2718.468702183792</v>
      </c>
      <c r="K8" s="23">
        <f>'三表-假设'!K44</f>
        <v>2990.3155724021713</v>
      </c>
      <c r="L8" s="2"/>
      <c r="M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13.210700000000001</v>
      </c>
      <c r="C9" s="22">
        <v>36.175399999999996</v>
      </c>
      <c r="D9" s="23">
        <f>'三表-假设'!D52</f>
        <v>159.1930559751753</v>
      </c>
      <c r="E9" s="23">
        <f>'三表-假设'!E52</f>
        <v>313.40024798141144</v>
      </c>
      <c r="F9" s="23">
        <f>'三表-假设'!F52</f>
        <v>464.5898812747725</v>
      </c>
      <c r="G9" s="23">
        <f>'三表-假设'!G52</f>
        <v>598.8123330324092</v>
      </c>
      <c r="H9" s="23">
        <f>'三表-假设'!H52</f>
        <v>763.5901769358843</v>
      </c>
      <c r="I9" s="23">
        <f>'三表-假设'!I52</f>
        <v>953.8516001492442</v>
      </c>
      <c r="J9" s="23">
        <f>'三表-假设'!J52</f>
        <v>1160.0831833208129</v>
      </c>
      <c r="K9" s="23">
        <f>'三表-假设'!K52</f>
        <v>1368.53880529891</v>
      </c>
      <c r="L9" s="2"/>
      <c r="M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786.8158</v>
      </c>
      <c r="C10" s="22">
        <v>1326.618</v>
      </c>
      <c r="D10" s="15">
        <f>C10</f>
        <v>1326.618</v>
      </c>
      <c r="E10" s="15">
        <f>D10</f>
        <v>1326.618</v>
      </c>
      <c r="F10" s="15">
        <f>E10</f>
        <v>1326.618</v>
      </c>
      <c r="G10" s="15">
        <f>F10</f>
        <v>1326.618</v>
      </c>
      <c r="H10" s="15">
        <f>G10</f>
        <v>1326.618</v>
      </c>
      <c r="I10" s="15">
        <f>H10</f>
        <v>1326.618</v>
      </c>
      <c r="J10" s="15">
        <f>I10</f>
        <v>1326.618</v>
      </c>
      <c r="K10" s="15">
        <f>J10</f>
        <v>1326.618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1527.8694</v>
      </c>
      <c r="C11" s="24">
        <f>SUM(C6:C10)</f>
        <v>3208.5383</v>
      </c>
      <c r="D11" s="24">
        <f>SUM(D6:D10)</f>
        <v>3881.1494347755356</v>
      </c>
      <c r="E11" s="24">
        <f>SUM(E6:E10)</f>
        <v>4771.046860842762</v>
      </c>
      <c r="F11" s="24">
        <f>SUM(F6:F10)</f>
        <v>5914.034932290109</v>
      </c>
      <c r="G11" s="24">
        <f>SUM(G6:G10)</f>
        <v>7357.54157330487</v>
      </c>
      <c r="H11" s="24">
        <f>SUM(H6:H10)</f>
        <v>9126.233787174002</v>
      </c>
      <c r="I11" s="24">
        <f>SUM(I6:I10)</f>
        <v>11238.424566155969</v>
      </c>
      <c r="J11" s="24">
        <f>SUM(J6:J10)</f>
        <v>13591.404913912236</v>
      </c>
      <c r="K11" s="24">
        <f>SUM(K6:K10)</f>
        <v>16085.506606870786</v>
      </c>
      <c r="L11" s="2"/>
      <c r="M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2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89.9818</v>
      </c>
      <c r="C13" s="22">
        <v>244.7956</v>
      </c>
      <c r="D13" s="23">
        <f>'三表-假设'!D45</f>
        <v>375.715977838376</v>
      </c>
      <c r="E13" s="23">
        <f>'三表-假设'!E45</f>
        <v>549.9115675634414</v>
      </c>
      <c r="F13" s="23">
        <f>'三表-假设'!F45</f>
        <v>774.6580343067609</v>
      </c>
      <c r="G13" s="23">
        <f>'三表-假设'!G45</f>
        <v>1028.035766361264</v>
      </c>
      <c r="H13" s="23">
        <f>'三表-假设'!H45</f>
        <v>1311.2701101546736</v>
      </c>
      <c r="I13" s="23">
        <f>'三表-假设'!I45</f>
        <v>1573.5241321856083</v>
      </c>
      <c r="J13" s="23">
        <f>'三表-假设'!J45</f>
        <v>1809.5527520134494</v>
      </c>
      <c r="K13" s="23">
        <f>'三表-假设'!K45</f>
        <v>1990.5080272147943</v>
      </c>
      <c r="L13" s="2"/>
      <c r="M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6.292400000000001</v>
      </c>
      <c r="C14" s="22">
        <v>30.2472</v>
      </c>
      <c r="D14" s="23">
        <f>'三表-假设'!D56</f>
        <v>30.2472</v>
      </c>
      <c r="E14" s="23">
        <f>'三表-假设'!E56</f>
        <v>30.2472</v>
      </c>
      <c r="F14" s="23">
        <f>'三表-假设'!F56</f>
        <v>30.2472</v>
      </c>
      <c r="G14" s="23">
        <f>'三表-假设'!G56</f>
        <v>30.2472</v>
      </c>
      <c r="H14" s="23">
        <f>'三表-假设'!H56</f>
        <v>30.2472</v>
      </c>
      <c r="I14" s="23">
        <f>'三表-假设'!I56</f>
        <v>30.2472</v>
      </c>
      <c r="J14" s="23">
        <f>'三表-假设'!J56</f>
        <v>30.2472</v>
      </c>
      <c r="K14" s="23">
        <f>'三表-假设'!K56</f>
        <v>30.2472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151.0462</v>
      </c>
      <c r="C15" s="22">
        <v>328.83709999999996</v>
      </c>
      <c r="D15" s="15">
        <f>C15</f>
        <v>328.83709999999996</v>
      </c>
      <c r="E15" s="15">
        <f>D15</f>
        <v>328.83709999999996</v>
      </c>
      <c r="F15" s="15">
        <f>E15</f>
        <v>328.83709999999996</v>
      </c>
      <c r="G15" s="15">
        <f>F15</f>
        <v>328.83709999999996</v>
      </c>
      <c r="H15" s="15">
        <f>G15</f>
        <v>328.83709999999996</v>
      </c>
      <c r="I15" s="15">
        <f>H15</f>
        <v>328.83709999999996</v>
      </c>
      <c r="J15" s="15">
        <f>I15</f>
        <v>328.83709999999996</v>
      </c>
      <c r="K15" s="15">
        <f>J15</f>
        <v>328.83709999999996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247.3204</v>
      </c>
      <c r="C16" s="24">
        <f>SUM(C13:C15)</f>
        <v>603.8798999999999</v>
      </c>
      <c r="D16" s="24">
        <f>SUM(D13:D15)</f>
        <v>734.8002778383759</v>
      </c>
      <c r="E16" s="24">
        <f>SUM(E13:E15)</f>
        <v>908.9958675634414</v>
      </c>
      <c r="F16" s="24">
        <f>SUM(F13:F15)</f>
        <v>1133.7423343067608</v>
      </c>
      <c r="G16" s="24">
        <f>SUM(G13:G15)</f>
        <v>1387.120066361264</v>
      </c>
      <c r="H16" s="24">
        <f>SUM(H13:H15)</f>
        <v>1670.3544101546736</v>
      </c>
      <c r="I16" s="24">
        <f>SUM(I13:I15)</f>
        <v>1932.6084321856083</v>
      </c>
      <c r="J16" s="24">
        <f>SUM(J13:J15)</f>
        <v>2168.6370520134496</v>
      </c>
      <c r="K16" s="24">
        <f>SUM(K13:K15)</f>
        <v>2349.5923272147943</v>
      </c>
    </row>
    <row r="17" ht="20" customHeight="1">
      <c r="A17" s="32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1280.549</v>
      </c>
      <c r="C18" s="22">
        <v>2604.6585</v>
      </c>
      <c r="D18" s="15">
        <f>C18</f>
        <v>2604.6585</v>
      </c>
      <c r="E18" s="15">
        <f>D18</f>
        <v>2604.6585</v>
      </c>
      <c r="F18" s="15">
        <f>E18</f>
        <v>2604.6585</v>
      </c>
      <c r="G18" s="15">
        <f>F18</f>
        <v>2604.6585</v>
      </c>
      <c r="H18" s="15">
        <f>G18</f>
        <v>2604.6585</v>
      </c>
      <c r="I18" s="15">
        <f>H18</f>
        <v>2604.6585</v>
      </c>
      <c r="J18" s="15">
        <f>I18</f>
        <v>2604.6585</v>
      </c>
      <c r="K18" s="15">
        <f>J18</f>
        <v>2604.6585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541.6907569371596</v>
      </c>
      <c r="E19" s="15">
        <f>D19+'三表-利润表'!E17-'三表-假设'!E59</f>
        <v>1257.3925932793206</v>
      </c>
      <c r="F19" s="15">
        <f>E19+'三表-利润表'!F17-'三表-假设'!F59</f>
        <v>2175.6341979833483</v>
      </c>
      <c r="G19" s="15">
        <f>F19+'三表-利润表'!G17-'三表-假设'!G59</f>
        <v>3365.763106943606</v>
      </c>
      <c r="H19" s="15">
        <f>G19+'三表-利润表'!H17-'三表-假设'!H59</f>
        <v>4851.220977019328</v>
      </c>
      <c r="I19" s="15">
        <f>H19+'三表-利润表'!I17-'三表-假设'!I59</f>
        <v>6701.157733970362</v>
      </c>
      <c r="J19" s="15">
        <f>I19+'三表-利润表'!J17-'三表-假设'!J59</f>
        <v>8818.109461898786</v>
      </c>
      <c r="K19" s="15">
        <f>J19+'三表-利润表'!K17-'三表-假设'!K59</f>
        <v>11131.255879655993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1280.549</v>
      </c>
      <c r="C20" s="24">
        <f>C18+C19</f>
        <v>2604.6585</v>
      </c>
      <c r="D20" s="24">
        <f>D18+D19</f>
        <v>3146.3492569371597</v>
      </c>
      <c r="E20" s="24">
        <f>E18+E19</f>
        <v>3862.0510932793204</v>
      </c>
      <c r="F20" s="24">
        <f>F18+F19</f>
        <v>4780.292697983348</v>
      </c>
      <c r="G20" s="24">
        <f>G18+G19</f>
        <v>5970.421606943606</v>
      </c>
      <c r="H20" s="24">
        <f>H18+H19</f>
        <v>7455.879477019327</v>
      </c>
      <c r="I20" s="24">
        <f>I18+I19</f>
        <v>9305.816233970361</v>
      </c>
      <c r="J20" s="24">
        <f>J18+J19</f>
        <v>11422.767961898786</v>
      </c>
      <c r="K20" s="24">
        <f>K18+K19</f>
        <v>13735.914379655993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1527.8694</v>
      </c>
      <c r="C21" s="8">
        <f>C16+C20</f>
        <v>3208.5384</v>
      </c>
      <c r="D21" s="8">
        <f>D16+D20</f>
        <v>3881.1495347755354</v>
      </c>
      <c r="E21" s="8">
        <f>E16+E20</f>
        <v>4771.046960842762</v>
      </c>
      <c r="F21" s="8">
        <f>F16+F20</f>
        <v>5914.035032290109</v>
      </c>
      <c r="G21" s="8">
        <f>G16+G20</f>
        <v>7357.54167330487</v>
      </c>
      <c r="H21" s="8">
        <f>H16+H20</f>
        <v>9126.233887174001</v>
      </c>
      <c r="I21" s="8">
        <f>I16+I20</f>
        <v>11238.42466615597</v>
      </c>
      <c r="J21" s="8">
        <f>J16+J20</f>
        <v>13591.405013912236</v>
      </c>
      <c r="K21" s="8">
        <f>K16+K20</f>
        <v>16085.506706870787</v>
      </c>
      <c r="L21" s="2"/>
      <c r="M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2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16">
        <f>ROUND(I11-I21,6)</f>
        <v>0.0</v>
      </c>
      <c r="J24" s="16">
        <f>ROUND(J11-J21,6)</f>
        <v>0.0</v>
      </c>
      <c r="K24" s="16">
        <f>ROUND(K11-K21,6)</f>
        <v>0.0</v>
      </c>
      <c r="L24" s="2"/>
      <c r="M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  <c r="I25" s="16">
        <f>ROUND('三表-现金流量表'!I21-I6,6)</f>
        <v>0.0</v>
      </c>
      <c r="J25" s="16">
        <f>ROUND('三表-现金流量表'!J21-J6,6)</f>
        <v>0.0</v>
      </c>
      <c r="K25" s="16">
        <f>ROUND('三表-现金流量表'!K21-K6,6)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  <c r="I26" s="16">
        <f>ROUND(H19+'三表-利润表'!I17-'三表-假设'!I59-I19,6)</f>
        <v>0.0</v>
      </c>
      <c r="J26" s="16">
        <f>ROUND(I19+'三表-利润表'!J17-'三表-假设'!J59-J19,6)</f>
        <v>0.0</v>
      </c>
      <c r="K26" s="16">
        <f>ROUND(J19+'三表-利润表'!K17-'三表-假设'!K59-K19,6)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  <c r="I27" s="16">
        <f>ROUND('三表-假设'!I49+'三表-假设'!I50-'三表-假设'!I51-'三表-假设'!I52,6)</f>
        <v>0.0</v>
      </c>
      <c r="J27" s="16">
        <f>ROUND('三表-假设'!J49+'三表-假设'!J50-'三表-假设'!J51-'三表-假设'!J52,6)</f>
        <v>0.0</v>
      </c>
      <c r="K27" s="16">
        <f>ROUND('三表-假设'!K49+'三表-假设'!K50-'三表-假设'!K51-'三表-假设'!K52,6)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  <c r="I28" s="16">
        <f>ROUND('三表-假设'!I54-'三表-假设'!I55-'三表-假设'!I56,6)</f>
        <v>0.0</v>
      </c>
      <c r="J28" s="16">
        <f>ROUND('三表-假设'!J54-'三表-假设'!J55-'三表-假设'!J56,6)</f>
        <v>0.0</v>
      </c>
      <c r="K28" s="16">
        <f>ROUND('三表-假设'!K54-'三表-假设'!K55-'三表-假设'!K56,6)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9" t="str">
        <f>IF(SUM(ABS(B24),ABS(C24),ABS(D24),ABS(E24),ABS(F24),ABS(G24),ABS(H24),ABS(I24),ABS(J24),ABS(K24),ABS(B25),ABS(C25),ABS(D25),ABS(E25),ABS(F25),ABS(G25),ABS(H25),ABS(I25),ABS(J25),ABS(K25),ABS(B26),ABS(C26),ABS(D26),ABS(E26),ABS(F26),ABS(G26),ABS(H26),ABS(I26),ABS(J26),ABS(K26),ABS(B27),ABS(C27),ABS(D27),ABS(E27),ABS(F27),ABS(G27),ABS(H27),ABS(I27),ABS(J27),ABS(K27),ABS(B28),ABS(C28),ABS(D28),ABS(E28),ABS(F28),ABS(G28),ABS(H28),ABS(I28),ABS(J28),ABS(K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12.0" customWidth="1"/>
    <col min="10" max="10" width="12.0" customWidth="1"/>
    <col min="11" max="11" width="12.0" customWidth="1"/>
    <col min="12" max="12" width="2.5" customWidth="1"/>
    <col min="13" max="13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3" t="inlineStr">
        <is>
          <t xml:space="preserve">FY2031E</t>
        </is>
      </c>
      <c r="J4" s="3" t="inlineStr">
        <is>
          <t xml:space="preserve">FY2032E</t>
        </is>
      </c>
      <c r="K4" s="3" t="inlineStr">
        <is>
          <t xml:space="preserve">FY2033E</t>
        </is>
      </c>
      <c r="L4" s="2"/>
      <c r="M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95.47479999999999</v>
      </c>
      <c r="C6" s="23">
        <f>'三表-利润表'!C17</f>
        <v>278.2105</v>
      </c>
      <c r="D6" s="23">
        <f>'三表-利润表'!D17</f>
        <v>541.6907569371596</v>
      </c>
      <c r="E6" s="23">
        <f>'三表-利润表'!E17</f>
        <v>715.7018363421611</v>
      </c>
      <c r="F6" s="23">
        <f>'三表-利润表'!F17</f>
        <v>918.2416047040275</v>
      </c>
      <c r="G6" s="23">
        <f>'三表-利润表'!G17</f>
        <v>1190.1289089602578</v>
      </c>
      <c r="H6" s="23">
        <f>'三表-利润表'!H17</f>
        <v>1485.457870075722</v>
      </c>
      <c r="I6" s="23">
        <f>'三表-利润表'!I17</f>
        <v>1849.9367569510343</v>
      </c>
      <c r="J6" s="23">
        <f>'三表-利润表'!J17</f>
        <v>2116.9517279284246</v>
      </c>
      <c r="K6" s="23">
        <f>'三表-利润表'!K17</f>
        <v>2313.1464177572066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2.1122</v>
      </c>
      <c r="C7" s="23">
        <f>'三表-利润表'!C10</f>
        <v>6.3726</v>
      </c>
      <c r="D7" s="23">
        <f>'三表-利润表'!D10</f>
        <v>17.681842064824664</v>
      </c>
      <c r="E7" s="23">
        <f>'三表-利润表'!E10</f>
        <v>42.772105249763804</v>
      </c>
      <c r="F7" s="23">
        <f>'三表-利润表'!F10</f>
        <v>70.41207611963894</v>
      </c>
      <c r="G7" s="23">
        <f>'三表-利润表'!G10</f>
        <v>96.24332603188323</v>
      </c>
      <c r="H7" s="23">
        <f>'三表-利润表'!H10</f>
        <v>123.30437833342489</v>
      </c>
      <c r="I7" s="23">
        <f>'三表-利润表'!I10</f>
        <v>155.43724347092007</v>
      </c>
      <c r="J7" s="23">
        <f>'三表-利润表'!J10</f>
        <v>191.3218835153531</v>
      </c>
      <c r="K7" s="23">
        <f>'三表-利润表'!K10</f>
        <v>228.8531913775171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-109.77309999999996</v>
      </c>
      <c r="D8" s="15">
        <f>-'三表-假设'!D47</f>
        <v>-88.07845336270864</v>
      </c>
      <c r="E8" s="15">
        <f>-'三表-假设'!E47</f>
        <v>-119.91723586816494</v>
      </c>
      <c r="F8" s="15">
        <f>-'三表-假设'!F47</f>
        <v>-152.60302883696545</v>
      </c>
      <c r="G8" s="15">
        <f>-'三表-假设'!G47</f>
        <v>-173.22519136435596</v>
      </c>
      <c r="H8" s="15">
        <f>-'三表-假设'!H47</f>
        <v>-192.05152228805355</v>
      </c>
      <c r="I8" s="15">
        <f>-'三表-假设'!I47</f>
        <v>-181.51336634405016</v>
      </c>
      <c r="J8" s="15">
        <f>-'三表-假设'!J47</f>
        <v>-163.36202970964382</v>
      </c>
      <c r="K8" s="15">
        <f>-'三表-假设'!K47</f>
        <v>-125.24422277739427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495.17179999999985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2">
        <v>0.0</v>
      </c>
      <c r="J9" s="22">
        <v>0.0</v>
      </c>
      <c r="K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192.3913</v>
      </c>
      <c r="C10" s="20">
        <v>669.9817999999999</v>
      </c>
      <c r="D10" s="24">
        <f>SUM(D6:D9)</f>
        <v>471.2941456392756</v>
      </c>
      <c r="E10" s="24">
        <f>SUM(E6:E9)</f>
        <v>638.5567057237599</v>
      </c>
      <c r="F10" s="24">
        <f>SUM(F6:F9)</f>
        <v>836.050651986701</v>
      </c>
      <c r="G10" s="24">
        <f>SUM(G6:G9)</f>
        <v>1113.147043627785</v>
      </c>
      <c r="H10" s="24">
        <f>SUM(H6:H9)</f>
        <v>1416.7107261210933</v>
      </c>
      <c r="I10" s="24">
        <f>SUM(I6:I9)</f>
        <v>1823.8606340779043</v>
      </c>
      <c r="J10" s="24">
        <f>SUM(J6:J9)</f>
        <v>2144.9115817341335</v>
      </c>
      <c r="K10" s="24">
        <f>SUM(K6:K9)</f>
        <v>2416.7553863573294</v>
      </c>
      <c r="L10" s="2"/>
      <c r="M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2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-9.6953</v>
      </c>
      <c r="C12" s="22">
        <v>-50.36270000000001</v>
      </c>
      <c r="D12" s="15">
        <f>-'三表-假设'!D50</f>
        <v>-140.69949803999995</v>
      </c>
      <c r="E12" s="15">
        <f>-'三表-假设'!E50</f>
        <v>-196.97929725599994</v>
      </c>
      <c r="F12" s="15">
        <f>-'三表-假设'!F50</f>
        <v>-221.60170941299998</v>
      </c>
      <c r="G12" s="15">
        <f>-'三表-假设'!G50</f>
        <v>-230.46577778952</v>
      </c>
      <c r="H12" s="15">
        <f>-'三表-假设'!H50</f>
        <v>-288.0822222369</v>
      </c>
      <c r="I12" s="15">
        <f>-'三表-假设'!I50</f>
        <v>-345.69866668427994</v>
      </c>
      <c r="J12" s="15">
        <f>-'三表-假设'!J50</f>
        <v>-397.5534666869219</v>
      </c>
      <c r="K12" s="15">
        <f>-'三表-假设'!K50</f>
        <v>-437.3088133556141</v>
      </c>
      <c r="L12" s="2"/>
      <c r="M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-140.69949803999995</v>
      </c>
      <c r="E13" s="24">
        <f>E12</f>
        <v>-196.97929725599994</v>
      </c>
      <c r="F13" s="24">
        <f>F12</f>
        <v>-221.60170941299998</v>
      </c>
      <c r="G13" s="24">
        <f>G12</f>
        <v>-230.46577778952</v>
      </c>
      <c r="H13" s="24">
        <f>H12</f>
        <v>-288.0822222369</v>
      </c>
      <c r="I13" s="24">
        <f>I12</f>
        <v>-345.69866668427994</v>
      </c>
      <c r="J13" s="24">
        <f>J12</f>
        <v>-397.5534666869219</v>
      </c>
      <c r="K13" s="24">
        <f>K12</f>
        <v>-437.3088133556141</v>
      </c>
    </row>
    <row r="14" ht="20" customHeight="1">
      <c r="A14" s="32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  <c r="I15" s="15">
        <f>-'三表-假设'!I55</f>
        <v>-0.0</v>
      </c>
      <c r="J15" s="15">
        <f>-'三表-假设'!J55</f>
        <v>-0.0</v>
      </c>
      <c r="K15" s="15">
        <f>-'三表-假设'!K55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-0.0</v>
      </c>
      <c r="E16" s="15">
        <f>-'三表-假设'!E59</f>
        <v>-0.0</v>
      </c>
      <c r="F16" s="15">
        <f>-'三表-假设'!F59</f>
        <v>-0.0</v>
      </c>
      <c r="G16" s="15">
        <f>-'三表-假设'!G59</f>
        <v>-0.0</v>
      </c>
      <c r="H16" s="15">
        <f>-'三表-假设'!H59</f>
        <v>-0.0</v>
      </c>
      <c r="I16" s="15">
        <f>-'三表-假设'!I59</f>
        <v>-0.0</v>
      </c>
      <c r="J16" s="15">
        <f>-'三表-假设'!J59</f>
        <v>-0.0</v>
      </c>
      <c r="K16" s="15">
        <f>-'三表-假设'!K59</f>
        <v>-0.0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0.0</v>
      </c>
      <c r="E17" s="24">
        <f>E15+E16</f>
        <v>0.0</v>
      </c>
      <c r="F17" s="24">
        <f>F15+F16</f>
        <v>0.0</v>
      </c>
      <c r="G17" s="24">
        <f>G15+G16</f>
        <v>0.0</v>
      </c>
      <c r="H17" s="24">
        <f>H15+H16</f>
        <v>0.0</v>
      </c>
      <c r="I17" s="24">
        <f>I15+I16</f>
        <v>0.0</v>
      </c>
      <c r="J17" s="24">
        <f>J15+J16</f>
        <v>0.0</v>
      </c>
      <c r="K17" s="24">
        <f>K15+K16</f>
        <v>0.0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330.5946475992755</v>
      </c>
      <c r="E19" s="15">
        <f>E10+E13+E17</f>
        <v>441.57740846776005</v>
      </c>
      <c r="F19" s="15">
        <f>F10+F13+F17</f>
        <v>614.4489425737006</v>
      </c>
      <c r="G19" s="15">
        <f>G10+G13+G17</f>
        <v>882.6812658382651</v>
      </c>
      <c r="H19" s="15">
        <f>H10+H13+H17</f>
        <v>1128.6285038841934</v>
      </c>
      <c r="I19" s="15">
        <f>I10+I13+I17</f>
        <v>1478.1619673936239</v>
      </c>
      <c r="J19" s="15">
        <f>J10+J13+J17</f>
        <v>1747.3581150472119</v>
      </c>
      <c r="K19" s="15">
        <f>K10+K13+K17</f>
        <v>1979.4465730017155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1419.2579</v>
      </c>
      <c r="E20" s="15">
        <f>D21</f>
        <v>1749.8525475992756</v>
      </c>
      <c r="F20" s="15">
        <f>E21</f>
        <v>2191.4299560670356</v>
      </c>
      <c r="G20" s="15">
        <f>F21</f>
        <v>2805.878898640736</v>
      </c>
      <c r="H20" s="15">
        <f>G21</f>
        <v>3688.5601644790013</v>
      </c>
      <c r="I20" s="15">
        <f>H21</f>
        <v>4817.188668363195</v>
      </c>
      <c r="J20" s="15">
        <f>I21</f>
        <v>6295.3506357568185</v>
      </c>
      <c r="K20" s="15">
        <f>J21</f>
        <v>8042.70875080403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1749.8525475992756</v>
      </c>
      <c r="E21" s="8">
        <f>E20+E19</f>
        <v>2191.4299560670356</v>
      </c>
      <c r="F21" s="8">
        <f>F20+F19</f>
        <v>2805.878898640736</v>
      </c>
      <c r="G21" s="8">
        <f>G20+G19</f>
        <v>3688.5601644790013</v>
      </c>
      <c r="H21" s="8">
        <f>H20+H19</f>
        <v>4817.188668363195</v>
      </c>
      <c r="I21" s="8">
        <f>I20+I19</f>
        <v>6295.3506357568185</v>
      </c>
      <c r="J21" s="8">
        <f>J20+J19</f>
        <v>8042.70875080403</v>
      </c>
      <c r="K21" s="8">
        <f>K20+K19</f>
        <v>10022.155323805746</v>
      </c>
      <c r="L21" s="2"/>
      <c r="M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2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2"/>
      <c r="C5" s="32"/>
      <c r="D5" s="32"/>
      <c r="E5" s="32"/>
      <c r="F5" s="32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392.7707</v>
      </c>
      <c r="C6" s="22">
        <v>1699.2693</v>
      </c>
      <c r="D6" s="42">
        <f>IF(B6=0,"NM",(C6-B6)/ABS(B6))</f>
        <v>3.3263647211973804</v>
      </c>
      <c r="E6" s="12" t="inlineStr">
        <is>
          <t xml:space="preserve">p.161</t>
        </is>
      </c>
      <c r="F6" s="12" t="inlineStr">
        <is>
          <r>
            <rPr>
              <sz val="12"/>
              <rFont val="KaiTi"/>
              <family val="2"/>
            </rPr>
            <t xml:space="preserve">一、营业收入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168.0441</v>
      </c>
      <c r="C7" s="22">
        <v>672.261</v>
      </c>
      <c r="D7" s="42">
        <f>IF(B7=0,"NM",(C7-B7)/ABS(B7))</f>
        <v>3.0005034392757617</v>
      </c>
      <c r="E7" s="12" t="inlineStr">
        <is>
          <t xml:space="preserve">p.161</t>
        </is>
      </c>
      <c r="F7" s="12" t="inlineStr">
        <is>
          <r>
            <rPr>
              <sz val="12"/>
              <rFont val="KaiTi"/>
              <family val="2"/>
            </rPr>
            <t xml:space="preserve">减：营业成本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59.1585</v>
      </c>
      <c r="C8" s="22">
        <v>141.2032</v>
      </c>
      <c r="D8" s="42">
        <f>IF(B8=0,"NM",(C8-B8)/ABS(B8))</f>
        <v>1.3868624119948953</v>
      </c>
      <c r="E8" s="12" t="inlineStr">
        <is>
          <t xml:space="preserve">p.162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25.0052</v>
      </c>
      <c r="C9" s="22">
        <v>399.5961</v>
      </c>
      <c r="D9" s="42">
        <f>IF(B9=0,"NM",(C9-B9)/ABS(B9))</f>
        <v>14.98052005182922</v>
      </c>
      <c r="E9" s="12" t="inlineStr">
        <is>
          <t xml:space="preserve">p.162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70.017</v>
      </c>
      <c r="C10" s="22">
        <v>144.9656</v>
      </c>
      <c r="D10" s="42">
        <f>IF(B10=0,"NM",(C10-B10)/ABS(B10))</f>
        <v>1.0704343230929632</v>
      </c>
      <c r="E10" s="12" t="inlineStr">
        <is>
          <t xml:space="preserve">p.162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-17.1864</v>
      </c>
      <c r="C11" s="22">
        <v>0.9861</v>
      </c>
      <c r="D11" s="42">
        <f>IF(B11=0,"NM",(C11-B11)/ABS(B11))</f>
        <v>1.0573767630219244</v>
      </c>
      <c r="E11" s="12" t="inlineStr">
        <is>
          <t xml:space="preserve">p.162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9.2746</v>
      </c>
      <c r="C12" s="22">
        <v>23.0109</v>
      </c>
      <c r="D12" s="42">
        <f>IF(B12=0,"NM",(C12-B12)/ABS(B12))</f>
        <v>1.4810665689086322</v>
      </c>
      <c r="E12" s="12" t="inlineStr">
        <is>
          <t xml:space="preserve">p.162</t>
        </is>
      </c>
      <c r="F12" s="12" t="inlineStr">
        <is>
          <r>
            <rPr>
              <sz val="12"/>
              <rFont val="KaiTi"/>
              <family val="2"/>
            </rPr>
            <t xml:space="preserve">投资收益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0.9542</v>
      </c>
      <c r="C13" s="22">
        <v>0.9129000000000002</v>
      </c>
      <c r="D13" s="42">
        <f>IF(B13=0,"NM",(C13-B13)/ABS(B13))</f>
        <v>-0.04328233074827069</v>
      </c>
      <c r="E13" s="12" t="inlineStr">
        <is>
          <t xml:space="preserve">p.162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100.7025</v>
      </c>
      <c r="C14" s="20">
        <v>367.7135</v>
      </c>
      <c r="D14" s="43">
        <f>IF(B14=0,"NM",(C14-B14)/ABS(B14))</f>
        <v>2.6514833296094937</v>
      </c>
      <c r="E14" s="19" t="inlineStr">
        <is>
          <t xml:space="preserve">p.162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二、营业利润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100.6178</v>
      </c>
      <c r="C15" s="20">
        <v>368.459</v>
      </c>
      <c r="D15" s="43">
        <f>IF(B15=0,"NM",(C15-B15)/ABS(B15))</f>
        <v>2.661966371755296</v>
      </c>
      <c r="E15" s="19" t="inlineStr">
        <is>
          <t xml:space="preserve">p.162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三、利润总额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5.143</v>
      </c>
      <c r="C16" s="22">
        <v>90.2485</v>
      </c>
      <c r="D16" s="42">
        <f>IF(B16=0,"NM",(C16-B16)/ABS(B16))</f>
        <v>16.54783200466654</v>
      </c>
      <c r="E16" s="12" t="inlineStr">
        <is>
          <t xml:space="preserve">p.162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95.4747</v>
      </c>
      <c r="C17" s="20">
        <v>278.2105</v>
      </c>
      <c r="D17" s="43">
        <f>IF(B17=0,"NM",(C17-B17)/ABS(B17))</f>
        <v>1.9139709263291746</v>
      </c>
      <c r="E17" s="19" t="inlineStr">
        <is>
          <t xml:space="preserve">p.162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四、净利润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95.4747</v>
      </c>
      <c r="C18" s="20">
        <v>278.2105</v>
      </c>
      <c r="D18" s="43">
        <f>IF(B18=0,"NM",(C18-B18)/ABS(B18))</f>
        <v>1.9139709263291746</v>
      </c>
      <c r="E18" s="19" t="inlineStr">
        <is>
          <t xml:space="preserve">p.162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归属于母公司所有者净利润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78.4765</v>
      </c>
      <c r="C19" s="22">
        <v>590.7528</v>
      </c>
      <c r="D19" s="42">
        <f>IF(B19=0,"NM",(C19-B19)/ABS(B19))</f>
        <v>6.527766911113518</v>
      </c>
      <c r="E19" s="12" t="inlineStr">
        <is>
          <t xml:space="preserve">p.193</t>
        </is>
      </c>
      <c r="F19" s="12" t="inlineStr">
        <is>
          <r>
            <rPr>
              <sz val="12"/>
              <rFont val="KaiTi"/>
              <family val="2"/>
            </rPr>
            <t xml:space="preserve">扣除非经常性损益后归属于母公司股东的净利润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16.9982</v>
      </c>
      <c r="C20" s="22">
        <v>-312.5423</v>
      </c>
      <c r="D20" s="42">
        <f>IF(B20=0,"NM",(C20-B20)/ABS(B20))</f>
        <v>-19.38678801284842</v>
      </c>
      <c r="E20" s="12" t="inlineStr">
        <is>
          <t xml:space="preserve">p.193</t>
        </is>
      </c>
      <c r="F20" s="12" t="inlineStr">
        <is>
          <r>
            <rPr>
              <sz val="12"/>
              <rFont val="KaiTi"/>
              <family val="2"/>
            </rPr>
            <t xml:space="preserve">归属于母公司股东的非经常性损益净额</t>
          </r>
        </is>
      </c>
    </row>
    <row r="21" ht="20" customHeight="1">
      <c r="A21" s="32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2"/>
      <c r="C21" s="32"/>
      <c r="D21" s="32"/>
      <c r="E21" s="32"/>
      <c r="F21" s="32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565.9428</v>
      </c>
      <c r="C22" s="22">
        <v>1419.2579</v>
      </c>
      <c r="D22" s="42">
        <f>IF(B22=0,"NM",(C22-B22)/ABS(B22))</f>
        <v>1.50777622756222</v>
      </c>
      <c r="E22" s="12" t="inlineStr">
        <is>
          <t xml:space="preserve">p.160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20.566</v>
      </c>
      <c r="C23" s="22">
        <v>58.7336</v>
      </c>
      <c r="D23" s="42">
        <f>IF(B23=0,"NM",(C23-B23)/ABS(B23))</f>
        <v>1.8558591850627253</v>
      </c>
      <c r="E23" s="12" t="inlineStr">
        <is>
          <t xml:space="preserve">p.160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141.3341</v>
      </c>
      <c r="C24" s="22">
        <v>367.75339999999994</v>
      </c>
      <c r="D24" s="42">
        <f>IF(B24=0,"NM",(C24-B24)/ABS(B24))</f>
        <v>1.6020146588827462</v>
      </c>
      <c r="E24" s="12" t="inlineStr">
        <is>
          <t xml:space="preserve">p.160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11.4321</v>
      </c>
      <c r="C25" s="22">
        <v>35.138</v>
      </c>
      <c r="D25" s="42">
        <f>IF(B25=0,"NM",(C25-B25)/ABS(B25))</f>
        <v>2.073626017966953</v>
      </c>
      <c r="E25" s="12" t="inlineStr">
        <is>
          <t xml:space="preserve">p.160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1.7786000000000002</v>
      </c>
      <c r="C26" s="22">
        <v>1.0374</v>
      </c>
      <c r="D26" s="42">
        <f>IF(B26=0,"NM",(C26-B26)/ABS(B26))</f>
        <v>-0.41673226132913527</v>
      </c>
      <c r="E26" s="12" t="inlineStr">
        <is>
          <t xml:space="preserve">p.160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1527.8694</v>
      </c>
      <c r="C27" s="20">
        <v>3208.5383</v>
      </c>
      <c r="D27" s="43">
        <f>IF(B27=0,"NM",(C27-B27)/ABS(B27))</f>
        <v>1.1000082205979125</v>
      </c>
      <c r="E27" s="19" t="inlineStr">
        <is>
          <t xml:space="preserve">p.161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89.9818</v>
      </c>
      <c r="C28" s="22">
        <v>244.7956</v>
      </c>
      <c r="D28" s="42">
        <f>IF(B28=0,"NM",(C28-B28)/ABS(B28))</f>
        <v>1.720501256920844</v>
      </c>
      <c r="E28" s="12" t="inlineStr">
        <is>
          <t xml:space="preserve">p.161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4.9572</v>
      </c>
      <c r="C29" s="22">
        <v>16.108</v>
      </c>
      <c r="D29" s="42">
        <f>IF(B29=0,"NM",(C29-B29)/ABS(B29))</f>
        <v>2.249414992334382</v>
      </c>
      <c r="E29" s="12" t="inlineStr">
        <is>
          <t xml:space="preserve">p.161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
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1.3052</v>
      </c>
      <c r="C30" s="22">
        <v>14.1392</v>
      </c>
      <c r="D30" s="42">
        <f>IF(B30=0,"NM",(C30-B30)/ABS(B30))</f>
        <v>9.83297578915109</v>
      </c>
      <c r="E30" s="12" t="inlineStr">
        <is>
          <t xml:space="preserve">p.161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247.3204</v>
      </c>
      <c r="C31" s="20">
        <v>603.8799</v>
      </c>
      <c r="D31" s="43">
        <f>IF(B31=0,"NM",(C31-B31)/ABS(B31))</f>
        <v>1.4416906167061028</v>
      </c>
      <c r="E31" s="19" t="inlineStr">
        <is>
          <t xml:space="preserve">p.161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1280.549</v>
      </c>
      <c r="C32" s="22">
        <v>2604.6585</v>
      </c>
      <c r="D32" s="42">
        <f>IF(B32=0,"NM",(C32-B32)/ABS(B32))</f>
        <v>1.0340170504994342</v>
      </c>
      <c r="E32" s="12" t="inlineStr">
        <is>
          <t xml:space="preserve">p.161</t>
        </is>
      </c>
      <c r="F32" s="12" t="inlineStr">
        <is>
          <r>
            <rPr>
              <sz val="12"/>
              <rFont val="KaiTi"/>
              <family val="2"/>
            </rPr>
            <t xml:space="preserve">归属于母公司所有者权
益合计</t>
          </r>
        </is>
      </c>
    </row>
    <row r="33" ht="20" customHeight="1">
      <c r="A33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3" s="20">
        <v>1280.549</v>
      </c>
      <c r="C33" s="20">
        <v>2604.6585</v>
      </c>
      <c r="D33" s="43">
        <f>IF(B33=0,"NM",(C33-B33)/ABS(B33))</f>
        <v>1.0340170504994342</v>
      </c>
      <c r="E33" s="19" t="inlineStr">
        <is>
          <t xml:space="preserve">p.161</t>
        </is>
      </c>
      <c r="F33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</row>
    <row r="34" ht="20" customHeight="1">
      <c r="A34" s="32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4" s="32"/>
      <c r="C34" s="32"/>
      <c r="D34" s="32"/>
      <c r="E34" s="32"/>
      <c r="F34" s="32"/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5" s="20">
        <v>192.3913</v>
      </c>
      <c r="C35" s="20">
        <v>669.9817999999999</v>
      </c>
      <c r="D35" s="43">
        <f>IF(B35=0,"NM",(C35-B35)/ABS(B35))</f>
        <v>2.4823913555342676</v>
      </c>
      <c r="E35" s="19" t="inlineStr">
        <is>
          <t xml:space="preserve">p.163</t>
        </is>
      </c>
      <c r="F35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6" s="22">
        <v>9.6953</v>
      </c>
      <c r="C36" s="22">
        <v>50.36270000000001</v>
      </c>
      <c r="D36" s="42">
        <f>IF(B36=0,"NM",(C36-B36)/ABS(B36))</f>
        <v>4.194547873712007</v>
      </c>
      <c r="E36" s="12" t="inlineStr">
        <is>
          <t xml:space="preserve">p.163</t>
        </is>
      </c>
      <c r="F36" s="12" t="inlineStr">
        <is>
          <r>
            <rPr>
              <sz val="12"/>
              <rFont val="KaiTi"/>
              <family val="2"/>
            </rPr>
            <t xml:space="preserve">购建固定资产、无形资产和其他长期
资产支付的现金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7" s="22">
        <v>1.9507</v>
      </c>
      <c r="C37" s="22">
        <v>6.0388</v>
      </c>
      <c r="D37" s="42">
        <f>IF(B37=0,"NM",(C37-B37)/ABS(B37))</f>
        <v>2.095709232583175</v>
      </c>
      <c r="E37" s="12" t="inlineStr">
        <is>
          <t xml:space="preserve">p.240</t>
        </is>
      </c>
      <c r="F37" s="12" t="inlineStr">
        <is>
          <r>
            <rPr>
              <sz val="12"/>
              <rFont val="KaiTi"/>
              <family val="2"/>
            </rPr>
            <t xml:space="preserve">固定资产折旧、投资性房地产折旧、油气资产折耗、生产性生物资产折旧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8" s="22">
        <v>0.1615</v>
      </c>
      <c r="C38" s="22">
        <v>0.3338</v>
      </c>
      <c r="D38" s="42">
        <f>IF(B38=0,"NM",(C38-B38)/ABS(B38))</f>
        <v>1.0668730650154796</v>
      </c>
      <c r="E38" s="12" t="inlineStr">
        <is>
          <t xml:space="preserve">p.240</t>
        </is>
      </c>
      <c r="F38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39" ht="20" customHeight="1">
      <c r="A39" s="32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39" s="32"/>
      <c r="C39" s="32"/>
      <c r="D39" s="32"/>
      <c r="E39" s="32"/>
      <c r="F39" s="32"/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0" s="12"/>
      <c r="C40" s="25">
        <v>0.76</v>
      </c>
      <c r="D40" s="12"/>
      <c r="E40" s="12" t="inlineStr">
        <is>
          <t xml:space="preserve">p.197</t>
        </is>
      </c>
      <c r="F40" s="12" t="inlineStr">
        <is>
          <r>
            <rPr>
              <sz val="12"/>
              <rFont val="KaiTi"/>
              <family val="2"/>
            </rPr>
            <t xml:space="preserve">基本每股收益</t>
          </r>
        </is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1" s="29">
        <v>0.10460000000000001</v>
      </c>
      <c r="C41" s="29">
        <v>0.1352</v>
      </c>
      <c r="D41" s="44">
        <f>(C41-B41)*100</f>
        <v>3.0599999999999974</v>
      </c>
      <c r="E41" s="12" t="inlineStr">
        <is>
          <t xml:space="preserve">p.197</t>
        </is>
      </c>
      <c r="F41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2" s="13">
        <f>(B6-B7)/B6</f>
        <v>0.572157240853251</v>
      </c>
      <c r="C42" s="13">
        <f>(C6-C7)/C6</f>
        <v>0.6043823071481371</v>
      </c>
      <c r="D42" s="44">
        <f>(C42-B42)*100</f>
        <v>3.2225066294886084</v>
      </c>
      <c r="E42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2" s="12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3" s="13">
        <f>B17/B6</f>
        <v>0.24307999552919807</v>
      </c>
      <c r="C43" s="13">
        <f>C17/C6</f>
        <v>0.16372360755296408</v>
      </c>
      <c r="D43" s="44">
        <f>(C43-B43)*100</f>
        <v>-7.935638797623398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4" s="13">
        <f>B31/B27</f>
        <v>0.1618727359812298</v>
      </c>
      <c r="C44" s="13">
        <f>C31/C27</f>
        <v>0.18821028254517017</v>
      </c>
      <c r="D44" s="44">
        <f>(C44-B44)*100</f>
        <v>2.6337546563940357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5" s="16">
        <f>B35/B18</f>
        <v>2.0151024302773406</v>
      </c>
      <c r="C45" s="16">
        <f>C35/C18</f>
        <v>2.4081830125031223</v>
      </c>
      <c r="D45" s="42">
        <f>IF(B45=0,"NM",(C45-B45)/ABS(B45))</f>
        <v>0.19506729599431907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  <col min="7" max="7" width="10.0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2" t="inlineStr">
        <is>
          <r>
            <rPr>
              <b/>
              <sz val="12"/>
              <rFont val="KaiTi"/>
              <family val="2"/>
            </rPr>
            <t xml:space="preserve">主营业务收入按产品类别（</t>
          </r>
          <r>
            <rPr>
              <b/>
              <sz val="12"/>
              <rFont val="Arial"/>
              <family val="2"/>
            </rPr>
            <t xml:space="preserve">p.199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2"/>
      <c r="C4" s="32"/>
      <c r="D4" s="32"/>
      <c r="E4" s="32"/>
      <c r="F4" s="32"/>
      <c r="G4" s="32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四足机器人</t>
          </r>
        </is>
      </c>
      <c r="B6" s="22">
        <v>697.6256</v>
      </c>
      <c r="C6" s="29">
        <v>0.41619999999999996</v>
      </c>
      <c r="D6" s="22">
        <v>230.5437</v>
      </c>
      <c r="E6" s="29">
        <v>0.5947</v>
      </c>
      <c r="F6" s="22">
        <v>119.3809</v>
      </c>
      <c r="G6" s="29">
        <v>0.7578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人形机器人</t>
          </r>
        </is>
      </c>
      <c r="B7" s="22">
        <v>867.8319</v>
      </c>
      <c r="C7" s="29">
        <v>0.5178</v>
      </c>
      <c r="D7" s="22">
        <v>107.2976</v>
      </c>
      <c r="E7" s="29">
        <v>0.2768</v>
      </c>
      <c r="F7" s="22">
        <v>2.9671</v>
      </c>
      <c r="G7" s="29">
        <v>0.018799999999999997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机器人组件</t>
          </r>
        </is>
      </c>
      <c r="B8" s="22">
        <v>103.7367</v>
      </c>
      <c r="C8" s="29">
        <v>0.061900000000000004</v>
      </c>
      <c r="D8" s="22">
        <v>44.5382</v>
      </c>
      <c r="E8" s="29">
        <v>0.1149</v>
      </c>
      <c r="F8" s="22">
        <v>26.9234</v>
      </c>
      <c r="G8" s="29">
        <v>0.1709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</t>
          </r>
        </is>
      </c>
      <c r="B9" s="22">
        <v>6.9167</v>
      </c>
      <c r="C9" s="29">
        <v>0.0040999999999999995</v>
      </c>
      <c r="D9" s="22">
        <v>5.2933</v>
      </c>
      <c r="E9" s="29">
        <v>0.0137</v>
      </c>
      <c r="F9" s="22">
        <v>8.2651</v>
      </c>
      <c r="G9" s="29">
        <v>0.0525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主营业务收入合计</t>
          </r>
        </is>
      </c>
      <c r="B10" s="22">
        <v>1676.1109</v>
      </c>
      <c r="C10" s="29">
        <v>1.0</v>
      </c>
      <c r="D10" s="22">
        <v>387.6728</v>
      </c>
      <c r="E10" s="29">
        <v>1.0</v>
      </c>
      <c r="F10" s="22">
        <v>157.5365</v>
      </c>
      <c r="G10" s="29">
        <v>1.0</v>
      </c>
    </row>
    <row r="11" ht="20" customHeight="1">
      <c r="A11" s="32" t="inlineStr">
        <is>
          <r>
            <rPr>
              <b/>
              <sz val="12"/>
              <rFont val="KaiTi"/>
              <family val="2"/>
            </rPr>
            <t xml:space="preserve">四足机器人销售情况（</t>
          </r>
          <r>
            <rPr>
              <b/>
              <sz val="12"/>
              <rFont val="Arial"/>
              <family val="2"/>
            </rPr>
            <t xml:space="preserve">p.199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2"/>
      <c r="C11" s="32"/>
      <c r="D11" s="32"/>
      <c r="E11" s="32"/>
      <c r="F11" s="32"/>
      <c r="G11" s="32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销量（台）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单价（万元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台）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G1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13" s="25">
        <v>23037.0</v>
      </c>
      <c r="C13" s="29">
        <v>2.2283</v>
      </c>
      <c r="D13" s="25">
        <v>3.03</v>
      </c>
      <c r="E13" s="29">
        <v>-0.06269999999999999</v>
      </c>
      <c r="F13" s="22">
        <v>697.6256</v>
      </c>
      <c r="G13" s="29">
        <v>2.026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14" s="25">
        <v>7136.0</v>
      </c>
      <c r="C14" s="29">
        <v>1.2863999999999998</v>
      </c>
      <c r="D14" s="25">
        <v>3.23</v>
      </c>
      <c r="E14" s="29">
        <v>-0.15539999999999998</v>
      </c>
      <c r="F14" s="22">
        <v>230.5437</v>
      </c>
      <c r="G14" s="29">
        <v>0.9312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四足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</t>
          </r>
        </is>
      </c>
      <c r="B15" s="25">
        <v>3121.0</v>
      </c>
      <c r="C15" s="12"/>
      <c r="D15" s="25">
        <v>3.83</v>
      </c>
      <c r="E15" s="12"/>
      <c r="F15" s="22">
        <v>119.3809</v>
      </c>
      <c r="G15" s="12"/>
    </row>
    <row r="16" ht="20" customHeight="1">
      <c r="A16" s="32" t="inlineStr">
        <is>
          <r>
            <rPr>
              <b/>
              <sz val="12"/>
              <rFont val="KaiTi"/>
              <family val="2"/>
            </rPr>
            <t xml:space="preserve">四足机器人收入增长量价贡献（</t>
          </r>
          <r>
            <rPr>
              <b/>
              <sz val="12"/>
              <rFont val="Arial"/>
              <family val="2"/>
            </rPr>
            <t xml:space="preserve">p.200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" s="32"/>
      <c r="C16" s="32"/>
      <c r="D16" s="32"/>
      <c r="E16" s="32"/>
      <c r="F16" s="32"/>
      <c r="G16" s="32"/>
    </row>
    <row r="17" ht="36" customHeight="1">
      <c r="A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  <c r="D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1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四足销量变动影响</t>
          </r>
        </is>
      </c>
      <c r="B18" s="22">
        <v>513.7157</v>
      </c>
      <c r="C18" s="29">
        <v>1.0998</v>
      </c>
      <c r="D18" s="22">
        <v>153.5771</v>
      </c>
      <c r="E18" s="29">
        <v>1.3816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四足单价变动影响</t>
          </r>
        </is>
      </c>
      <c r="B19" s="22">
        <v>-46.6339</v>
      </c>
      <c r="C19" s="29">
        <v>-0.0998</v>
      </c>
      <c r="D19" s="22">
        <v>-42.4143</v>
      </c>
      <c r="E19" s="29">
        <v>-0.38159999999999994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四足合计影响</t>
          </r>
        </is>
      </c>
      <c r="B20" s="22">
        <v>467.0819</v>
      </c>
      <c r="C20" s="29">
        <v>1.0</v>
      </c>
      <c r="D20" s="22">
        <v>111.1628</v>
      </c>
      <c r="E20" s="29">
        <v>1.0</v>
      </c>
    </row>
    <row r="21" ht="20" customHeight="1">
      <c r="A21" s="32" t="inlineStr">
        <is>
          <r>
            <rPr>
              <b/>
              <sz val="12"/>
              <rFont val="KaiTi"/>
              <family val="2"/>
            </rPr>
            <t xml:space="preserve">人形机器人销售情况（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" s="32"/>
      <c r="C21" s="32"/>
      <c r="D21" s="32"/>
      <c r="E21" s="32"/>
      <c r="F21" s="32"/>
      <c r="G21" s="32"/>
    </row>
    <row r="22" ht="36" customHeight="1">
      <c r="A2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销量（台）</t>
          </r>
        </is>
      </c>
      <c r="C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  <c r="D2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单价（万元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台）</t>
          </r>
        </is>
      </c>
      <c r="E2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单价同比</t>
          </r>
        </is>
      </c>
      <c r="F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G22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销售收入同比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</t>
          </r>
        </is>
      </c>
      <c r="B23" s="25">
        <v>5215.0</v>
      </c>
      <c r="C23" s="29">
        <v>11.6578</v>
      </c>
      <c r="D23" s="25">
        <v>16.64</v>
      </c>
      <c r="E23" s="29">
        <v>-0.361</v>
      </c>
      <c r="F23" s="22">
        <v>867.8319</v>
      </c>
      <c r="G23" s="29">
        <v>7.0881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</t>
          </r>
        </is>
      </c>
      <c r="B24" s="25">
        <v>412.0</v>
      </c>
      <c r="C24" s="29">
        <v>81.4</v>
      </c>
      <c r="D24" s="25">
        <v>26.04</v>
      </c>
      <c r="E24" s="29">
        <v>-0.5611</v>
      </c>
      <c r="F24" s="22">
        <v>107.2976</v>
      </c>
      <c r="G24" s="29">
        <v>35.1624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人形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</t>
          </r>
        </is>
      </c>
      <c r="B25" s="25">
        <v>5.0</v>
      </c>
      <c r="C25" s="12"/>
      <c r="D25" s="25">
        <v>59.34</v>
      </c>
      <c r="E25" s="12"/>
      <c r="F25" s="22">
        <v>2.9671</v>
      </c>
      <c r="G25" s="12"/>
    </row>
    <row r="26" ht="20" customHeight="1">
      <c r="A26" s="32" t="inlineStr">
        <is>
          <r>
            <rPr>
              <b/>
              <sz val="12"/>
              <rFont val="KaiTi"/>
              <family val="2"/>
            </rPr>
            <t xml:space="preserve">人形机器人收入增长量价贡献（</t>
          </r>
          <r>
            <rPr>
              <b/>
              <sz val="12"/>
              <rFont val="Arial"/>
              <family val="2"/>
            </rPr>
            <t xml:space="preserve">p.201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32"/>
      <c r="C26" s="32"/>
      <c r="D26" s="32"/>
      <c r="E26" s="32"/>
      <c r="F26" s="32"/>
      <c r="G26" s="32"/>
    </row>
    <row r="27" ht="36" customHeight="1">
      <c r="A2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  <c r="D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2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年贡献度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人形销量变动影响</t>
          </r>
        </is>
      </c>
      <c r="B28" s="22">
        <v>1250.8509</v>
      </c>
      <c r="C28" s="29">
        <v>1.6447</v>
      </c>
      <c r="D28" s="22">
        <v>241.5218</v>
      </c>
      <c r="E28" s="29">
        <v>2.315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人形单价变动影响</t>
          </r>
        </is>
      </c>
      <c r="B29" s="22">
        <v>-490.31660000000005</v>
      </c>
      <c r="C29" s="29">
        <v>-0.6446999999999999</v>
      </c>
      <c r="D29" s="22">
        <v>-137.1912</v>
      </c>
      <c r="E29" s="29">
        <v>-1.315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人形合计影响</t>
          </r>
        </is>
      </c>
      <c r="B30" s="22">
        <v>760.5342999999999</v>
      </c>
      <c r="C30" s="29">
        <v>1.0</v>
      </c>
      <c r="D30" s="22">
        <v>104.3305</v>
      </c>
      <c r="E30" s="29">
        <v>1.0</v>
      </c>
    </row>
    <row r="31" ht="20" customHeight="1">
      <c r="A31" s="32" t="inlineStr">
        <is>
          <r>
            <rPr>
              <b/>
              <sz val="12"/>
              <rFont val="KaiTi"/>
              <family val="2"/>
            </rPr>
            <t xml:space="preserve">主营业务收入按区域（</t>
          </r>
          <r>
            <rPr>
              <b/>
              <sz val="12"/>
              <rFont val="Arial"/>
              <family val="2"/>
            </rPr>
            <t xml:space="preserve">p.202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1" s="32"/>
      <c r="C31" s="32"/>
      <c r="D31" s="32"/>
      <c r="E31" s="32"/>
      <c r="F31" s="32"/>
      <c r="G31" s="32"/>
    </row>
    <row r="32" ht="36" customHeight="1">
      <c r="A3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3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境内销售</t>
          </r>
        </is>
      </c>
      <c r="B33" s="22">
        <v>944.4556</v>
      </c>
      <c r="C33" s="29">
        <v>0.5635</v>
      </c>
      <c r="D33" s="22">
        <v>171.5655</v>
      </c>
      <c r="E33" s="29">
        <v>0.4426</v>
      </c>
      <c r="F33" s="22">
        <v>69.8941</v>
      </c>
      <c r="G33" s="29">
        <v>0.4437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境外销售</t>
          </r>
        </is>
      </c>
      <c r="B34" s="22">
        <v>731.6553</v>
      </c>
      <c r="C34" s="29">
        <v>0.4365</v>
      </c>
      <c r="D34" s="22">
        <v>216.10740000000004</v>
      </c>
      <c r="E34" s="29">
        <v>0.5574</v>
      </c>
      <c r="F34" s="22">
        <v>87.6424</v>
      </c>
      <c r="G34" s="29">
        <v>0.5563</v>
      </c>
    </row>
    <row r="35" ht="20" customHeight="1">
      <c r="A35" s="32" t="inlineStr">
        <is>
          <r>
            <rPr>
              <b/>
              <sz val="12"/>
              <rFont val="KaiTi"/>
              <family val="2"/>
            </rPr>
            <t xml:space="preserve">主营业务收入按季度（</t>
          </r>
          <r>
            <rPr>
              <b/>
              <sz val="12"/>
              <rFont val="Arial"/>
              <family val="2"/>
            </rPr>
            <t xml:space="preserve">p.202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5" s="32"/>
      <c r="C35" s="32"/>
      <c r="D35" s="32"/>
      <c r="E35" s="32"/>
      <c r="F35" s="32"/>
      <c r="G35" s="32"/>
    </row>
    <row r="36" ht="36" customHeight="1">
      <c r="A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36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第一季度主营收入</t>
          </r>
        </is>
      </c>
      <c r="B37" s="22">
        <v>248.15919999999997</v>
      </c>
      <c r="C37" s="29">
        <v>0.1481</v>
      </c>
      <c r="D37" s="22">
        <v>65.10979999999999</v>
      </c>
      <c r="E37" s="29">
        <v>0.168</v>
      </c>
      <c r="F37" s="22">
        <v>30.9317</v>
      </c>
      <c r="G37" s="29">
        <v>0.1963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第二季度主营收入</t>
          </r>
        </is>
      </c>
      <c r="B38" s="22">
        <v>520.9534</v>
      </c>
      <c r="C38" s="29">
        <v>0.31079999999999997</v>
      </c>
      <c r="D38" s="22">
        <v>67.073</v>
      </c>
      <c r="E38" s="29">
        <v>0.17300000000000001</v>
      </c>
      <c r="F38" s="22">
        <v>41.4392</v>
      </c>
      <c r="G38" s="29">
        <v>0.263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第三季度主营收入</t>
          </r>
        </is>
      </c>
      <c r="B39" s="22">
        <v>385.4368</v>
      </c>
      <c r="C39" s="29">
        <v>0.23</v>
      </c>
      <c r="D39" s="22">
        <v>97.6544</v>
      </c>
      <c r="E39" s="29">
        <v>0.2519</v>
      </c>
      <c r="F39" s="22">
        <v>32.2243</v>
      </c>
      <c r="G39" s="29">
        <v>0.2046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第四季度主营收入</t>
          </r>
        </is>
      </c>
      <c r="B40" s="22">
        <v>521.5615</v>
      </c>
      <c r="C40" s="29">
        <v>0.31120000000000003</v>
      </c>
      <c r="D40" s="22">
        <v>157.8355</v>
      </c>
      <c r="E40" s="29">
        <v>0.4071</v>
      </c>
      <c r="F40" s="22">
        <v>52.9413</v>
      </c>
      <c r="G40" s="29">
        <v>0.3361</v>
      </c>
    </row>
    <row r="41" ht="20" customHeight="1">
      <c r="A41" s="32" t="inlineStr">
        <is>
          <r>
            <rPr>
              <b/>
              <sz val="12"/>
              <rFont val="KaiTi"/>
              <family val="2"/>
            </rPr>
            <t xml:space="preserve">主营业务收入按销售模式（</t>
          </r>
          <r>
            <rPr>
              <b/>
              <sz val="12"/>
              <rFont val="Arial"/>
              <family val="2"/>
            </rPr>
            <t xml:space="preserve">p.203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1" s="32"/>
      <c r="C41" s="32"/>
      <c r="D41" s="32"/>
      <c r="E41" s="32"/>
      <c r="F41" s="32"/>
      <c r="G41" s="32"/>
    </row>
    <row r="42" ht="36" customHeight="1">
      <c r="A4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C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E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年收入（百万元）</t>
          </r>
        </is>
      </c>
      <c r="G4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线上销售</t>
          </r>
        </is>
      </c>
      <c r="B43" s="22">
        <v>179.70419999999996</v>
      </c>
      <c r="C43" s="29">
        <v>0.1072</v>
      </c>
      <c r="D43" s="22">
        <v>40.2634</v>
      </c>
      <c r="E43" s="29">
        <v>0.1039</v>
      </c>
      <c r="F43" s="22">
        <v>20.6952</v>
      </c>
      <c r="G43" s="29">
        <v>0.13140000000000002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线上直接销售</t>
          </r>
        </is>
      </c>
      <c r="B44" s="22">
        <v>130.8526</v>
      </c>
      <c r="C44" s="29">
        <v>0.0781</v>
      </c>
      <c r="D44" s="22">
        <v>40.2634</v>
      </c>
      <c r="E44" s="29">
        <v>0.1039</v>
      </c>
      <c r="F44" s="22">
        <v>20.6952</v>
      </c>
      <c r="G44" s="29">
        <v>0.13140000000000002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电商入仓</t>
          </r>
        </is>
      </c>
      <c r="B45" s="22">
        <v>48.8516</v>
      </c>
      <c r="C45" s="29">
        <v>0.0291</v>
      </c>
      <c r="D45" s="12"/>
      <c r="E45" s="12"/>
      <c r="F45" s="12"/>
      <c r="G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线下销售</t>
          </r>
        </is>
      </c>
      <c r="B46" s="22">
        <v>1496.4068</v>
      </c>
      <c r="C46" s="29">
        <v>0.8928</v>
      </c>
      <c r="D46" s="22">
        <v>347.4094</v>
      </c>
      <c r="E46" s="29">
        <v>0.8961</v>
      </c>
      <c r="F46" s="22">
        <v>136.8413</v>
      </c>
      <c r="G46" s="29">
        <v>0.8686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线下直销</t>
          </r>
        </is>
      </c>
      <c r="B47" s="22">
        <v>856.4421000000001</v>
      </c>
      <c r="C47" s="29">
        <v>0.511</v>
      </c>
      <c r="D47" s="22">
        <v>208.731</v>
      </c>
      <c r="E47" s="29">
        <v>0.5384</v>
      </c>
      <c r="F47" s="22">
        <v>80.773</v>
      </c>
      <c r="G47" s="29">
        <v>0.5127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经销</t>
          </r>
        </is>
      </c>
      <c r="B48" s="22">
        <v>639.9647</v>
      </c>
      <c r="C48" s="29">
        <v>0.3818</v>
      </c>
      <c r="D48" s="22">
        <v>138.6784</v>
      </c>
      <c r="E48" s="29">
        <v>0.3577</v>
      </c>
      <c r="F48" s="22">
        <v>56.0683</v>
      </c>
      <c r="G48" s="29">
        <v>0.35590000000000005</v>
      </c>
    </row>
    <row r="49" ht="20" customHeight="1">
      <c r="A49" s="32" t="inlineStr">
        <is>
          <r>
            <rPr>
              <b/>
              <sz val="12"/>
              <rFont val="KaiTi"/>
              <family val="2"/>
            </rPr>
            <t xml:space="preserve">主营业务成本按生产要素（</t>
          </r>
          <r>
            <rPr>
              <b/>
              <sz val="12"/>
              <rFont val="Arial"/>
              <family val="2"/>
            </rPr>
            <t xml:space="preserve">p.204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9" s="32"/>
      <c r="C49" s="32"/>
      <c r="D49" s="32"/>
      <c r="E49" s="32"/>
      <c r="F49" s="32"/>
      <c r="G49" s="32"/>
    </row>
    <row r="50" ht="36" customHeight="1">
      <c r="A5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50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直接材料</t>
          </r>
        </is>
      </c>
      <c r="B51" s="22">
        <v>546.1594</v>
      </c>
      <c r="C51" s="29">
        <v>0.8173</v>
      </c>
      <c r="D51" s="22">
        <v>122.3044</v>
      </c>
      <c r="E51" s="29">
        <v>0.7293000000000001</v>
      </c>
      <c r="F51" s="22">
        <v>64.0399</v>
      </c>
      <c r="G51" s="29">
        <v>0.7287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直接人工</t>
          </r>
        </is>
      </c>
      <c r="B52" s="22">
        <v>53.964</v>
      </c>
      <c r="C52" s="29">
        <v>0.0808</v>
      </c>
      <c r="D52" s="22">
        <v>20.8491</v>
      </c>
      <c r="E52" s="29">
        <v>0.1243</v>
      </c>
      <c r="F52" s="22">
        <v>12.2774</v>
      </c>
      <c r="G52" s="29">
        <v>0.13970000000000002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制造费用</t>
          </r>
        </is>
      </c>
      <c r="B53" s="22">
        <v>68.1369</v>
      </c>
      <c r="C53" s="29">
        <v>0.102</v>
      </c>
      <c r="D53" s="22">
        <v>24.5531</v>
      </c>
      <c r="E53" s="29">
        <v>0.1464</v>
      </c>
      <c r="F53" s="22">
        <v>11.5618</v>
      </c>
      <c r="G53" s="29">
        <v>0.1316</v>
      </c>
    </row>
    <row r="54" ht="20" customHeight="1">
      <c r="A54" s="32" t="inlineStr">
        <is>
          <r>
            <rPr>
              <b/>
              <sz val="12"/>
              <rFont val="KaiTi"/>
              <family val="2"/>
            </rPr>
            <t xml:space="preserve">主营业务毛利按产品（</t>
          </r>
          <r>
            <rPr>
              <b/>
              <sz val="12"/>
              <rFont val="Arial"/>
              <family val="2"/>
            </rPr>
            <t xml:space="preserve">p.205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4" s="32"/>
      <c r="C54" s="32"/>
      <c r="D54" s="32"/>
      <c r="E54" s="32"/>
      <c r="F54" s="32"/>
      <c r="G54" s="32"/>
    </row>
    <row r="55" ht="36" customHeight="1">
      <c r="A5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C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E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年毛利（百万元）</t>
          </r>
        </is>
      </c>
      <c r="G5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四足机器人毛利</t>
          </r>
        </is>
      </c>
      <c r="B56" s="22">
        <v>395.69160000000005</v>
      </c>
      <c r="C56" s="29">
        <v>0.3926</v>
      </c>
      <c r="D56" s="22">
        <v>119.06879999999998</v>
      </c>
      <c r="E56" s="29">
        <v>0.5413</v>
      </c>
      <c r="F56" s="22">
        <v>52.1821</v>
      </c>
      <c r="G56" s="29">
        <v>0.7491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人形机器人毛利</t>
          </r>
        </is>
      </c>
      <c r="B57" s="22">
        <v>548.2661</v>
      </c>
      <c r="C57" s="29">
        <v>0.544</v>
      </c>
      <c r="D57" s="22">
        <v>74.3099</v>
      </c>
      <c r="E57" s="29">
        <v>0.3378</v>
      </c>
      <c r="F57" s="22">
        <v>2.6012</v>
      </c>
      <c r="G57" s="29">
        <v>0.0373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机器人组件毛利</t>
          </r>
        </is>
      </c>
      <c r="B58" s="22">
        <v>61.5741</v>
      </c>
      <c r="C58" s="29">
        <v>0.0611</v>
      </c>
      <c r="D58" s="22">
        <v>25.3579</v>
      </c>
      <c r="E58" s="29">
        <v>0.1153</v>
      </c>
      <c r="F58" s="22">
        <v>13.129</v>
      </c>
      <c r="G58" s="29">
        <v>0.1885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其他毛利</t>
          </r>
        </is>
      </c>
      <c r="B59" s="22">
        <v>2.3189</v>
      </c>
      <c r="C59" s="29">
        <v>0.0023</v>
      </c>
      <c r="D59" s="22">
        <v>1.2296</v>
      </c>
      <c r="E59" s="29">
        <v>0.005600000000000001</v>
      </c>
      <c r="F59" s="22">
        <v>1.7452</v>
      </c>
      <c r="G59" s="29">
        <v>0.025099999999999997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主营业务毛利</t>
          </r>
        </is>
      </c>
      <c r="B60" s="22">
        <v>1007.8507000000001</v>
      </c>
      <c r="C60" s="29">
        <v>1.0</v>
      </c>
      <c r="D60" s="22">
        <v>219.9662</v>
      </c>
      <c r="E60" s="29">
        <v>1.0</v>
      </c>
      <c r="F60" s="22">
        <v>69.6575</v>
      </c>
      <c r="G60" s="29">
        <v>1.0</v>
      </c>
    </row>
    <row r="61" ht="20" customHeight="1">
      <c r="A61" s="32" t="inlineStr">
        <is>
          <r>
            <rPr>
              <b/>
              <sz val="12"/>
              <rFont val="KaiTi"/>
              <family val="2"/>
            </rPr>
            <t xml:space="preserve">主营业务毛利率按产品（</t>
          </r>
          <r>
            <rPr>
              <b/>
              <sz val="12"/>
              <rFont val="Arial"/>
              <family val="2"/>
            </rPr>
            <t xml:space="preserve">p.206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1" s="32"/>
      <c r="C61" s="32"/>
      <c r="D61" s="32"/>
      <c r="E61" s="32"/>
      <c r="F61" s="32"/>
      <c r="G61" s="32"/>
    </row>
    <row r="62" ht="24" customHeight="1">
      <c r="A6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62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四足机器人毛利率</t>
          </r>
        </is>
      </c>
      <c r="B63" s="29">
        <v>0.5672</v>
      </c>
      <c r="C63" s="29">
        <v>0.5165</v>
      </c>
      <c r="D63" s="29">
        <v>0.4371</v>
      </c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人形机器人毛利率</t>
          </r>
        </is>
      </c>
      <c r="B64" s="29">
        <v>0.6318</v>
      </c>
      <c r="C64" s="29">
        <v>0.6926000000000001</v>
      </c>
      <c r="D64" s="29">
        <v>0.8767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机器人组件毛利率</t>
          </r>
        </is>
      </c>
      <c r="B65" s="29">
        <v>0.5936</v>
      </c>
      <c r="C65" s="29">
        <v>0.5694</v>
      </c>
      <c r="D65" s="29">
        <v>0.4876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其他毛利率</t>
          </r>
        </is>
      </c>
      <c r="B66" s="29">
        <v>0.3353</v>
      </c>
      <c r="C66" s="29">
        <v>0.2323</v>
      </c>
      <c r="D66" s="29">
        <v>0.21109999999999998</v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主营业务毛利率</t>
          </r>
        </is>
      </c>
      <c r="B67" s="29">
        <v>0.6013000000000001</v>
      </c>
      <c r="C67" s="29">
        <v>0.5674</v>
      </c>
      <c r="D67" s="29">
        <v>0.4422</v>
      </c>
    </row>
    <row r="68" ht="20" customHeight="1">
      <c r="A68" s="32" t="inlineStr">
        <is>
          <r>
            <rPr>
              <b/>
              <sz val="12"/>
              <rFont val="KaiTi"/>
              <family val="2"/>
            </rPr>
            <t xml:space="preserve">同行业公司营业收入与综合毛利率（</t>
          </r>
          <r>
            <rPr>
              <b/>
              <sz val="12"/>
              <rFont val="Arial"/>
              <family val="2"/>
            </rPr>
            <t xml:space="preserve">p.207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8" s="32"/>
      <c r="C68" s="32"/>
      <c r="D68" s="32"/>
      <c r="E68" s="32"/>
      <c r="F68" s="32"/>
      <c r="G68" s="32"/>
    </row>
    <row r="69" ht="36" customHeight="1">
      <c r="A6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C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  <c r="D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E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  <c r="F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年营业收入（百万元）</t>
          </r>
        </is>
      </c>
      <c r="G6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年毛利率</t>
          </r>
        </is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优必选</t>
          </r>
        </is>
      </c>
      <c r="B70" s="22">
        <v>2000.999</v>
      </c>
      <c r="C70" s="29">
        <v>0.37670000000000003</v>
      </c>
      <c r="D70" s="22">
        <v>1305.361</v>
      </c>
      <c r="E70" s="29">
        <v>0.2865</v>
      </c>
      <c r="F70" s="22">
        <v>1055.698</v>
      </c>
      <c r="G70" s="29">
        <v>0.3153</v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越疆</t>
          </r>
        </is>
      </c>
      <c r="B71" s="22">
        <v>493.483</v>
      </c>
      <c r="C71" s="29">
        <v>0.46490000000000004</v>
      </c>
      <c r="D71" s="22">
        <v>374.8306</v>
      </c>
      <c r="E71" s="29">
        <v>0.47950000000000004</v>
      </c>
      <c r="F71" s="22">
        <v>286.9917</v>
      </c>
      <c r="G71" s="29">
        <v>0.48469999999999996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云深处</t>
          </r>
        </is>
      </c>
      <c r="B72" s="22">
        <v>337.4906</v>
      </c>
      <c r="C72" s="29">
        <v>0.5283</v>
      </c>
      <c r="D72" s="22">
        <v>103.201</v>
      </c>
      <c r="E72" s="29">
        <v>0.3876</v>
      </c>
      <c r="F72" s="22">
        <v>50.1126</v>
      </c>
      <c r="G72" s="29">
        <v>0.3348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乐聚智能</t>
          </r>
        </is>
      </c>
      <c r="B73" s="22">
        <v>258.1879</v>
      </c>
      <c r="C73" s="29">
        <v>0.4078</v>
      </c>
      <c r="D73" s="22">
        <v>55.5003</v>
      </c>
      <c r="E73" s="29">
        <v>0.44299999999999995</v>
      </c>
      <c r="F73" s="22">
        <v>53.9883</v>
      </c>
      <c r="G73" s="29">
        <v>0.5045000000000001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同行平均值</t>
          </r>
        </is>
      </c>
      <c r="B74" s="22">
        <v>772.5401</v>
      </c>
      <c r="C74" s="29">
        <v>0.44439999999999996</v>
      </c>
      <c r="D74" s="22">
        <v>459.7232</v>
      </c>
      <c r="E74" s="29">
        <v>0.3992</v>
      </c>
      <c r="F74" s="22">
        <v>361.69769999999994</v>
      </c>
      <c r="G74" s="29">
        <v>0.40979999999999994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宇树科技（同行比较口径）</t>
          </r>
        </is>
      </c>
      <c r="B75" s="22">
        <v>1699.2693</v>
      </c>
      <c r="C75" s="29">
        <v>0.6043999999999999</v>
      </c>
      <c r="D75" s="22">
        <v>392.7707</v>
      </c>
      <c r="E75" s="29">
        <v>0.5722</v>
      </c>
      <c r="F75" s="22">
        <v>159.1344</v>
      </c>
      <c r="G75" s="29">
        <v>0.4475</v>
      </c>
    </row>
    <row r="76" ht="20" customHeight="1">
      <c r="A76" s="32" t="inlineStr">
        <is>
          <r>
            <rPr>
              <b/>
              <sz val="12"/>
              <rFont val="KaiTi"/>
              <family val="2"/>
            </rPr>
            <t xml:space="preserve">销售费用构成（</t>
          </r>
          <r>
            <rPr>
              <b/>
              <sz val="12"/>
              <rFont val="Arial"/>
              <family val="2"/>
            </rPr>
            <t xml:space="preserve">p.209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6" s="32"/>
      <c r="C76" s="32"/>
      <c r="D76" s="32"/>
      <c r="E76" s="32"/>
      <c r="F76" s="32"/>
      <c r="G76" s="32"/>
    </row>
    <row r="77" ht="36" customHeight="1">
      <c r="A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77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广告与业务宣传费</t>
          </r>
        </is>
      </c>
      <c r="B78" s="22">
        <v>60.5339</v>
      </c>
      <c r="C78" s="29">
        <v>0.42869999999999997</v>
      </c>
      <c r="D78" s="22">
        <v>17.2997</v>
      </c>
      <c r="E78" s="29">
        <v>0.2924</v>
      </c>
      <c r="F78" s="22">
        <v>13.3117</v>
      </c>
      <c r="G78" s="29">
        <v>0.3529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销售职工薪酬</t>
          </r>
        </is>
      </c>
      <c r="B79" s="22">
        <v>53.0871</v>
      </c>
      <c r="C79" s="29">
        <v>0.376</v>
      </c>
      <c r="D79" s="22">
        <v>28.804</v>
      </c>
      <c r="E79" s="29">
        <v>0.4869</v>
      </c>
      <c r="F79" s="22">
        <v>16.7589</v>
      </c>
      <c r="G79" s="29">
        <v>0.4443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平台及中介服务费</t>
          </r>
        </is>
      </c>
      <c r="B80" s="22">
        <v>13.9004</v>
      </c>
      <c r="C80" s="29">
        <v>0.0984</v>
      </c>
      <c r="D80" s="22">
        <v>6.9791</v>
      </c>
      <c r="E80" s="29">
        <v>0.11800000000000001</v>
      </c>
      <c r="F80" s="22">
        <v>1.975</v>
      </c>
      <c r="G80" s="29">
        <v>0.0524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销售费用合计</t>
          </r>
        </is>
      </c>
      <c r="B81" s="22">
        <v>141.2032</v>
      </c>
      <c r="C81" s="29">
        <v>1.0</v>
      </c>
      <c r="D81" s="22">
        <v>59.1585</v>
      </c>
      <c r="E81" s="29">
        <v>1.0</v>
      </c>
      <c r="F81" s="22">
        <v>37.7183</v>
      </c>
      <c r="G81" s="29">
        <v>1.0</v>
      </c>
    </row>
    <row r="82" ht="20" customHeight="1">
      <c r="A82" s="32" t="inlineStr">
        <is>
          <r>
            <rPr>
              <b/>
              <sz val="12"/>
              <rFont val="KaiTi"/>
              <family val="2"/>
            </rPr>
            <t xml:space="preserve">管理费用构成（</t>
          </r>
          <r>
            <rPr>
              <b/>
              <sz val="12"/>
              <rFont val="Arial"/>
              <family val="2"/>
            </rPr>
            <t xml:space="preserve">p.210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2" s="32"/>
      <c r="C82" s="32"/>
      <c r="D82" s="32"/>
      <c r="E82" s="32"/>
      <c r="F82" s="32"/>
      <c r="G82" s="32"/>
    </row>
    <row r="83" ht="36" customHeight="1">
      <c r="A8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8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股份支付</t>
          </r>
        </is>
      </c>
      <c r="B84" s="22">
        <v>349.0655</v>
      </c>
      <c r="C84" s="29">
        <v>0.8734999999999999</v>
      </c>
      <c r="D84" s="12"/>
      <c r="E84" s="12"/>
      <c r="F84" s="12"/>
      <c r="G84" s="12"/>
    </row>
    <row r="85" ht="20" customHeight="1">
      <c r="A85" s="12" t="inlineStr">
        <is>
          <r>
            <rPr>
              <sz val="12"/>
              <rFont val="KaiTi"/>
              <family val="2"/>
            </rPr>
            <t xml:space="preserve">管理职工薪酬</t>
          </r>
        </is>
      </c>
      <c r="B85" s="22">
        <v>26.4106</v>
      </c>
      <c r="C85" s="29">
        <v>0.0661</v>
      </c>
      <c r="D85" s="22">
        <v>11.0017</v>
      </c>
      <c r="E85" s="29">
        <v>0.44</v>
      </c>
      <c r="F85" s="22">
        <v>10.3773</v>
      </c>
      <c r="G85" s="29">
        <v>0.7786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中介服务费</t>
          </r>
        </is>
      </c>
      <c r="B86" s="22">
        <v>14.89</v>
      </c>
      <c r="C86" s="29">
        <v>0.0373</v>
      </c>
      <c r="D86" s="22">
        <v>11.6803</v>
      </c>
      <c r="E86" s="29">
        <v>0.4671</v>
      </c>
      <c r="F86" s="22">
        <v>1.1464</v>
      </c>
      <c r="G86" s="29">
        <v>0.086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管理费用合计</t>
          </r>
        </is>
      </c>
      <c r="B87" s="22">
        <v>399.5961</v>
      </c>
      <c r="C87" s="29">
        <v>1.0</v>
      </c>
      <c r="D87" s="22">
        <v>25.0052</v>
      </c>
      <c r="E87" s="29">
        <v>1.0</v>
      </c>
      <c r="F87" s="22">
        <v>13.328</v>
      </c>
      <c r="G87" s="29">
        <v>1.0</v>
      </c>
    </row>
    <row r="88" ht="20" customHeight="1">
      <c r="A88" s="32" t="inlineStr">
        <is>
          <r>
            <rPr>
              <b/>
              <sz val="12"/>
              <rFont val="KaiTi"/>
              <family val="2"/>
            </rPr>
            <t xml:space="preserve">研发费用构成（</t>
          </r>
          <r>
            <rPr>
              <b/>
              <sz val="12"/>
              <rFont val="Arial"/>
              <family val="2"/>
            </rPr>
            <t xml:space="preserve">p.211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8" s="32"/>
      <c r="C88" s="32"/>
      <c r="D88" s="32"/>
      <c r="E88" s="32"/>
      <c r="F88" s="32"/>
      <c r="G88" s="32"/>
    </row>
    <row r="89" ht="36" customHeight="1">
      <c r="A8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C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D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E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  <c r="F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年金额（百万元）</t>
          </r>
        </is>
      </c>
      <c r="G89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年占比</t>
          </r>
        </is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研发职工薪酬</t>
          </r>
        </is>
      </c>
      <c r="B90" s="22">
        <v>85.04459999999999</v>
      </c>
      <c r="C90" s="29">
        <v>0.5867</v>
      </c>
      <c r="D90" s="22">
        <v>57.4917</v>
      </c>
      <c r="E90" s="29">
        <v>0.8210999999999999</v>
      </c>
      <c r="F90" s="22">
        <v>39.233</v>
      </c>
      <c r="G90" s="29">
        <v>0.7854000000000001</v>
      </c>
    </row>
    <row r="91" ht="20" customHeight="1">
      <c r="A91" s="12" t="inlineStr">
        <is>
          <r>
            <rPr>
              <sz val="12"/>
              <rFont val="KaiTi"/>
              <family val="2"/>
            </rPr>
            <t xml:space="preserve">研发直接材料</t>
          </r>
        </is>
      </c>
      <c r="B91" s="22">
        <v>28.9696</v>
      </c>
      <c r="C91" s="29">
        <v>0.1998</v>
      </c>
      <c r="D91" s="22">
        <v>5.383</v>
      </c>
      <c r="E91" s="29">
        <v>0.07690000000000001</v>
      </c>
      <c r="F91" s="22">
        <v>5.7978</v>
      </c>
      <c r="G91" s="29">
        <v>0.1161</v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云算力租赁及云服务费</t>
          </r>
        </is>
      </c>
      <c r="B92" s="22">
        <v>15.1543</v>
      </c>
      <c r="C92" s="29">
        <v>0.1045</v>
      </c>
      <c r="D92" s="22">
        <v>1.2278</v>
      </c>
      <c r="E92" s="29">
        <v>0.0175</v>
      </c>
      <c r="F92" s="12"/>
      <c r="G92" s="12"/>
    </row>
    <row r="93" ht="20" customHeight="1">
      <c r="A93" s="12" t="inlineStr">
        <is>
          <r>
            <rPr>
              <sz val="12"/>
              <rFont val="KaiTi"/>
              <family val="2"/>
            </rPr>
            <t xml:space="preserve">研发费用合计</t>
          </r>
        </is>
      </c>
      <c r="B93" s="22">
        <v>144.9656</v>
      </c>
      <c r="C93" s="29">
        <v>1.0</v>
      </c>
      <c r="D93" s="22">
        <v>70.017</v>
      </c>
      <c r="E93" s="29">
        <v>1.0</v>
      </c>
      <c r="F93" s="22">
        <v>49.9518</v>
      </c>
      <c r="G93" s="29">
        <v>1.0</v>
      </c>
    </row>
    <row r="94" ht="20" customHeight="1">
      <c r="A94" s="32" t="inlineStr">
        <is>
          <r>
            <rPr>
              <b/>
              <sz val="12"/>
              <rFont val="KaiTi"/>
              <family val="2"/>
            </rPr>
            <t xml:space="preserve">同行业公司研发费用率（</t>
          </r>
          <r>
            <rPr>
              <b/>
              <sz val="12"/>
              <rFont val="Arial"/>
              <family val="2"/>
            </rPr>
            <t xml:space="preserve">p.213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4" s="32"/>
      <c r="C94" s="32"/>
      <c r="D94" s="32"/>
      <c r="E94" s="32"/>
      <c r="F94" s="32"/>
      <c r="G94" s="32"/>
    </row>
    <row r="95" ht="24" customHeight="1">
      <c r="A9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C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2024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  <c r="D95" s="3" t="inlineStr">
        <is>
          <r>
            <rPr>
              <b/>
              <sz val="12"/>
              <color rgb="FFFFFFFF"/>
              <rFont val="Arial"/>
              <family val="2"/>
            </rPr>
            <t xml:space="preserve">2023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</is>
      </c>
    </row>
    <row r="96" ht="20" customHeight="1">
      <c r="A96" s="12" t="inlineStr">
        <is>
          <r>
            <rPr>
              <sz val="12"/>
              <rFont val="KaiTi"/>
              <family val="2"/>
            </rPr>
            <t xml:space="preserve">优必选研发费用率</t>
          </r>
        </is>
      </c>
      <c r="B96" s="29">
        <v>0.2536</v>
      </c>
      <c r="C96" s="29">
        <v>0.3663</v>
      </c>
      <c r="D96" s="29">
        <v>0.4646</v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越疆研发费用率</t>
          </r>
        </is>
      </c>
      <c r="B97" s="29">
        <v>0.2323</v>
      </c>
      <c r="C97" s="29">
        <v>0.19149999999999998</v>
      </c>
      <c r="D97" s="29">
        <v>0.2457</v>
      </c>
    </row>
    <row r="98" ht="20" customHeight="1">
      <c r="A98" s="12" t="inlineStr">
        <is>
          <r>
            <rPr>
              <sz val="12"/>
              <rFont val="KaiTi"/>
              <family val="2"/>
            </rPr>
            <t xml:space="preserve">云深处研发费用率</t>
          </r>
        </is>
      </c>
      <c r="B98" s="29">
        <v>0.2498</v>
      </c>
      <c r="C98" s="29">
        <v>0.3703</v>
      </c>
      <c r="D98" s="29">
        <v>0.6422</v>
      </c>
    </row>
    <row r="99" ht="20" customHeight="1">
      <c r="A99" s="12" t="inlineStr">
        <is>
          <r>
            <rPr>
              <sz val="12"/>
              <rFont val="KaiTi"/>
              <family val="2"/>
            </rPr>
            <t xml:space="preserve">乐聚智能研发费用率</t>
          </r>
        </is>
      </c>
      <c r="B99" s="29">
        <v>0.2521</v>
      </c>
      <c r="C99" s="29">
        <v>0.41200000000000003</v>
      </c>
      <c r="D99" s="29">
        <v>0.3544</v>
      </c>
    </row>
    <row r="100" ht="20" customHeight="1">
      <c r="A100" s="12" t="inlineStr">
        <is>
          <r>
            <rPr>
              <sz val="12"/>
              <rFont val="KaiTi"/>
              <family val="2"/>
            </rPr>
            <t xml:space="preserve">同行平均研发费用率</t>
          </r>
        </is>
      </c>
      <c r="B100" s="29">
        <v>0.247</v>
      </c>
      <c r="C100" s="29">
        <v>0.335</v>
      </c>
      <c r="D100" s="29">
        <v>0.4267</v>
      </c>
    </row>
    <row r="101" ht="20" customHeight="1">
      <c r="A101" s="12" t="inlineStr">
        <is>
          <r>
            <rPr>
              <sz val="12"/>
              <rFont val="KaiTi"/>
              <family val="2"/>
            </rPr>
            <t xml:space="preserve">宇树科技研发费用率</t>
          </r>
        </is>
      </c>
      <c r="B101" s="29">
        <v>0.08529999999999999</v>
      </c>
      <c r="C101" s="29">
        <v>0.1783</v>
      </c>
      <c r="D101" s="29">
        <v>0.3139</v>
      </c>
    </row>
    <row r="102" ht="20" customHeight="1">
      <c r="A102" s="32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</t>
          </r>
          <r>
            <rPr>
              <b/>
              <sz val="12"/>
              <rFont val="Arial"/>
              <family val="2"/>
            </rPr>
            <t xml:space="preserve">1-3</t>
          </r>
          <r>
            <rPr>
              <b/>
              <sz val="12"/>
              <rFont val="KaiTi"/>
              <family val="2"/>
            </rPr>
            <t xml:space="preserve">月主要财务数据（经审阅）（</t>
          </r>
          <r>
            <rPr>
              <b/>
              <sz val="12"/>
              <rFont val="Arial"/>
              <family val="2"/>
            </rPr>
            <t xml:space="preserve">p.31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2" s="32"/>
      <c r="C102" s="32"/>
      <c r="D102" s="32"/>
      <c r="E102" s="32"/>
      <c r="F102" s="32"/>
      <c r="G102" s="32"/>
    </row>
    <row r="103" ht="36" customHeight="1">
      <c r="A10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1-3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  <c r="C103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1-3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  <c r="D103" s="3" t="inlineStr">
        <is>
          <r>
            <rPr>
              <b/>
              <sz val="12"/>
              <color rgb="FFFFFFFF"/>
              <rFont val="KaiTi"/>
              <family val="2"/>
            </rPr>
            <t xml:space="preserve">变动比例</t>
          </r>
        </is>
      </c>
    </row>
    <row r="104" ht="20" customHeight="1">
      <c r="A104" s="12" t="inlineStr">
        <is>
          <r>
            <rPr>
              <sz val="12"/>
              <rFont val="KaiTi"/>
              <family val="2"/>
            </rPr>
            <t xml:space="preserve">一季度营业收入</t>
          </r>
        </is>
      </c>
      <c r="B104" s="22">
        <v>422.8405</v>
      </c>
      <c r="C104" s="22">
        <v>250.9587</v>
      </c>
      <c r="D104" s="29">
        <v>0.6849</v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一季度营业利润</t>
          </r>
        </is>
      </c>
      <c r="B105" s="22">
        <v>49.136</v>
      </c>
      <c r="C105" s="22">
        <v>108.2057</v>
      </c>
      <c r="D105" s="29">
        <v>-0.5459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一季度利润总额</t>
          </r>
        </is>
      </c>
      <c r="B106" s="22">
        <v>48.974399999999996</v>
      </c>
      <c r="C106" s="22">
        <v>108.2623</v>
      </c>
      <c r="D106" s="29">
        <v>-0.5476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一季度归母净利润</t>
          </r>
        </is>
      </c>
      <c r="B107" s="22">
        <v>50.0138</v>
      </c>
      <c r="C107" s="22">
        <v>95.6025</v>
      </c>
      <c r="D107" s="29">
        <v>-0.4769</v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一季度扣非归母净利润</t>
          </r>
        </is>
      </c>
      <c r="B108" s="22">
        <v>40.2536</v>
      </c>
      <c r="C108" s="22">
        <v>84.8365</v>
      </c>
      <c r="D108" s="29">
        <v>-0.5255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一季度经营活动现金流量净额</t>
          </r>
        </is>
      </c>
      <c r="B109" s="22">
        <v>34.3996</v>
      </c>
      <c r="C109" s="22">
        <v>239.7268</v>
      </c>
      <c r="D109" s="29">
        <v>-0.8565</v>
      </c>
    </row>
    <row r="110" ht="20" customHeight="1">
      <c r="A110" s="32" t="inlineStr">
        <is>
          <r>
            <rPr>
              <b/>
              <sz val="12"/>
              <rFont val="Arial"/>
              <family val="2"/>
            </rPr>
            <t xml:space="preserve">2026</t>
          </r>
          <r>
            <rPr>
              <b/>
              <sz val="12"/>
              <rFont val="KaiTi"/>
              <family val="2"/>
            </rPr>
            <t xml:space="preserve">年</t>
          </r>
          <r>
            <rPr>
              <b/>
              <sz val="12"/>
              <rFont val="Arial"/>
              <family val="2"/>
            </rPr>
            <t xml:space="preserve">1-6</t>
          </r>
          <r>
            <rPr>
              <b/>
              <sz val="12"/>
              <rFont val="KaiTi"/>
              <family val="2"/>
            </rPr>
            <t xml:space="preserve">月财务数据预计（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2"/>
      <c r="C110" s="32"/>
      <c r="D110" s="32"/>
      <c r="E110" s="32"/>
      <c r="F110" s="32"/>
      <c r="G110" s="32"/>
    </row>
    <row r="111" ht="36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月预计下限（百万元）</t>
          </r>
        </is>
      </c>
      <c r="C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2026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月预计上限（百万元）</t>
          </r>
        </is>
      </c>
      <c r="D111" s="3" t="inlineStr">
        <is>
          <r>
            <rPr>
              <b/>
              <sz val="12"/>
              <color rgb="FFFFFFFF"/>
              <rFont val="Arial"/>
              <family val="2"/>
            </rPr>
            <t xml:space="preserve">2025</t>
          </r>
          <r>
            <rPr>
              <b/>
              <sz val="12"/>
              <color rgb="FFFFFFFF"/>
              <rFont val="KaiTi"/>
              <family val="2"/>
            </rPr>
            <t xml:space="preserve">年</t>
          </r>
          <r>
            <rPr>
              <b/>
              <sz val="12"/>
              <color rgb="FFFFFFFF"/>
              <rFont val="Arial"/>
              <family val="2"/>
            </rPr>
            <t xml:space="preserve">1-6</t>
          </r>
          <r>
            <rPr>
              <b/>
              <sz val="12"/>
              <color rgb="FFFFFFFF"/>
              <rFont val="KaiTi"/>
              <family val="2"/>
            </rPr>
            <t xml:space="preserve">月（百万元）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上半年营业收入预计</t>
          </r>
        </is>
      </c>
      <c r="B112" s="22">
        <v>1052.0</v>
      </c>
      <c r="C112" s="22">
        <v>1128.0</v>
      </c>
      <c r="D112" s="22">
        <v>775.7192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上半年归母净利润预计</t>
          </r>
        </is>
      </c>
      <c r="B113" s="22">
        <v>258.0</v>
      </c>
      <c r="C113" s="22">
        <v>306.0</v>
      </c>
      <c r="D113" s="22">
        <v>-32.0245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上半年扣非归母净利润预计</t>
          </r>
        </is>
      </c>
      <c r="B114" s="22">
        <v>236.0</v>
      </c>
      <c r="C114" s="22">
        <v>283.0</v>
      </c>
      <c r="D114" s="22">
        <v>302.4335</v>
      </c>
    </row>
    <row r="115" ht="20" customHeight="1">
      <c r="A115" s="32" t="inlineStr">
        <is>
          <r>
            <rPr>
              <b/>
              <sz val="12"/>
              <rFont val="KaiTi"/>
              <family val="2"/>
            </rPr>
            <t xml:space="preserve">募集资金投资项目（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5" s="32"/>
      <c r="C115" s="32"/>
      <c r="D115" s="32"/>
      <c r="E115" s="32"/>
      <c r="F115" s="32"/>
      <c r="G115" s="32"/>
    </row>
    <row r="116" ht="36" customHeight="1">
      <c r="A11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6" s="3" t="inlineStr">
        <is>
          <r>
            <rPr>
              <b/>
              <sz val="12"/>
              <color rgb="FFFFFFFF"/>
              <rFont val="KaiTi"/>
              <family val="2"/>
            </rPr>
            <t xml:space="preserve">拟使用募集资金（百万元）</t>
          </r>
        </is>
      </c>
    </row>
    <row r="117" ht="20" customHeight="1">
      <c r="A117" s="12" t="inlineStr">
        <is>
          <r>
            <rPr>
              <sz val="12"/>
              <rFont val="KaiTi"/>
              <family val="2"/>
            </rPr>
            <t xml:space="preserve">智能机器人模型研发项目</t>
          </r>
        </is>
      </c>
      <c r="B117" s="22">
        <v>2022.4593</v>
      </c>
    </row>
    <row r="118" ht="20" customHeight="1">
      <c r="A118" s="12" t="inlineStr">
        <is>
          <r>
            <rPr>
              <sz val="12"/>
              <rFont val="KaiTi"/>
              <family val="2"/>
            </rPr>
            <t xml:space="preserve">机器人本体研发项目</t>
          </r>
        </is>
      </c>
      <c r="B118" s="22">
        <v>1109.738</v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新型智能机器人产品开发项目</t>
          </r>
        </is>
      </c>
      <c r="B119" s="22">
        <v>445.4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智能机器人制造基地建设项目</t>
          </r>
        </is>
      </c>
      <c r="B120" s="22">
        <v>624.1139</v>
      </c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募投项目合计</t>
          </r>
        </is>
      </c>
      <c r="B121" s="22">
        <v>4201.7112</v>
      </c>
    </row>
    <row r="122" ht="20" customHeight="1">
      <c r="A122" s="32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122" s="32"/>
      <c r="C122" s="32"/>
      <c r="D122" s="32"/>
      <c r="E122" s="32"/>
      <c r="F122" s="32"/>
      <c r="G122" s="32"/>
    </row>
    <row r="123" ht="24" customHeight="1">
      <c r="A123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123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123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主营业务收入同比</t>
          </r>
        </is>
      </c>
      <c r="B124" s="13">
        <f>B10/D10</f>
        <v>3.323519473122695</v>
      </c>
      <c r="C124" s="12" t="inlineStr">
        <is>
          <t xml:space="preserve">%</t>
        </is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四足机器人收入同比</t>
          </r>
        </is>
      </c>
      <c r="B125" s="13">
        <f>B6/D6</f>
        <v>2.026001578008855</v>
      </c>
      <c r="C125" s="12" t="inlineStr">
        <is>
          <t xml:space="preserve">%</t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人形机器人收入同比</t>
          </r>
        </is>
      </c>
      <c r="B126" s="13">
        <f>B7/D7</f>
        <v>7.088083051251845</v>
      </c>
      <c r="C126" s="12" t="inlineStr">
        <is>
          <t xml:space="preserve">%</t>
        </is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机器人组件收入同比</t>
          </r>
        </is>
      </c>
      <c r="B127" s="13">
        <f>B8/D8</f>
        <v>1.3291623819552654</v>
      </c>
      <c r="C127" s="12" t="inlineStr">
        <is>
          <t xml:space="preserve">%</t>
        </is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境内销售收入同比</t>
          </r>
        </is>
      </c>
      <c r="B128" s="13">
        <f>B33/D33</f>
        <v>4.504927272674284</v>
      </c>
      <c r="C128" s="12" t="inlineStr">
        <is>
          <t xml:space="preserve">%</t>
        </is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境外销售收入同比</t>
          </r>
        </is>
      </c>
      <c r="B129" s="13">
        <f>B34/D34</f>
        <v>2.38560965519922</v>
      </c>
      <c r="C129" s="12" t="inlineStr">
        <is>
          <t xml:space="preserve">%</t>
        </is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经销收入同比</t>
          </r>
        </is>
      </c>
      <c r="B130" s="13">
        <f>B48/D48</f>
        <v>3.614739570113298</v>
      </c>
      <c r="C130" s="12" t="inlineStr">
        <is>
          <t xml:space="preserve">%</t>
        </is>
      </c>
    </row>
    <row r="131" ht="20" customHeight="1">
      <c r="A131" s="12" t="inlineStr">
        <is>
          <r>
            <rPr>
              <sz val="12"/>
              <rFont val="KaiTi"/>
              <family val="2"/>
            </rPr>
            <t xml:space="preserve">四足机器人毛利率变动</t>
          </r>
        </is>
      </c>
      <c r="B131" s="25">
        <v>5.07</v>
      </c>
      <c r="C131" s="12" t="inlineStr">
        <is>
          <t xml:space="preserve">pp</t>
        </is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人形机器人毛利率变动</t>
          </r>
        </is>
      </c>
      <c r="B132" s="25">
        <v>-6.080000000000005</v>
      </c>
      <c r="C132" s="12" t="inlineStr">
        <is>
          <t xml:space="preserve">pp</t>
        </is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主营业务毛利率变动</t>
          </r>
        </is>
      </c>
      <c r="B133" s="25">
        <v>3.3900000000000006</v>
      </c>
      <c r="C133" s="12" t="inlineStr">
        <is>
          <t xml:space="preserve">pp</t>
        </is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主营毛利率高于同行平均</t>
          </r>
        </is>
      </c>
      <c r="B134" s="25">
        <v>16.0</v>
      </c>
      <c r="C134" s="12" t="inlineStr">
        <is>
          <t xml:space="preserve">pp</t>
        </is>
      </c>
    </row>
    <row r="135" ht="20" customHeight="1">
      <c r="A135" s="12" t="inlineStr">
        <is>
          <r>
            <rPr>
              <sz val="12"/>
              <rFont val="KaiTi"/>
              <family val="2"/>
            </rPr>
            <t xml:space="preserve">剔除股份支付的管理费用</t>
          </r>
        </is>
      </c>
      <c r="B135" s="25">
        <v>50530600.0</v>
      </c>
      <c r="C135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136" ht="20" customHeight="1">
      <c r="A136" s="12" t="inlineStr">
        <is>
          <r>
            <rPr>
              <sz val="12"/>
              <rFont val="KaiTi"/>
              <family val="2"/>
            </rPr>
            <t xml:space="preserve">剔除股份支付的管理费用率</t>
          </r>
        </is>
      </c>
      <c r="B136" s="29">
        <v>0.029736663870759038</v>
      </c>
      <c r="C136" s="12" t="inlineStr">
        <is>
          <t xml:space="preserve">%</t>
        </is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股份支付占营业收入</t>
          </r>
        </is>
      </c>
      <c r="B137" s="29">
        <v>0.2054209418130487</v>
      </c>
      <c r="C137" s="12" t="inlineStr">
        <is>
          <t xml:space="preserve">%</t>
        </is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广告与业务宣传费同比</t>
          </r>
        </is>
      </c>
      <c r="B138" s="13">
        <f>B78/D78</f>
        <v>2.499130042717504</v>
      </c>
      <c r="C138" s="12" t="inlineStr">
        <is>
          <t xml:space="preserve">%</t>
        </is>
      </c>
    </row>
    <row r="139" ht="20" customHeight="1">
      <c r="A139" s="12" t="inlineStr">
        <is>
          <r>
            <rPr>
              <sz val="12"/>
              <rFont val="KaiTi"/>
              <family val="2"/>
            </rPr>
            <t xml:space="preserve">募投研发类项目占比</t>
          </r>
        </is>
      </c>
      <c r="B139" s="13">
        <f>B117/B121</f>
        <v>0.4813418161629005</v>
      </c>
      <c r="C139" s="12" t="inlineStr">
        <is>
          <t xml:space="preserve">%</t>
        </is>
      </c>
    </row>
    <row r="140" ht="20" customHeight="1">
      <c r="A140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年第四季度主营收入占比</t>
          </r>
        </is>
      </c>
      <c r="B140" s="13">
        <f>B40/B10</f>
        <v>0.31117362222273</v>
      </c>
      <c r="C140" s="12" t="inlineStr">
        <is>
          <t xml:space="preserve">%</t>
        </is>
      </c>
    </row>
    <row r="141" ht="20" customHeight="1">
      <c r="A141" s="12" t="inlineStr">
        <is>
          <r>
            <rPr>
              <sz val="12"/>
              <rFont val="KaiTi"/>
              <family val="2"/>
            </rPr>
            <t xml:space="preserve">人形机器人收入占比变动</t>
          </r>
        </is>
      </c>
      <c r="B141" s="25">
        <v>24.1</v>
      </c>
      <c r="C141" s="12" t="inlineStr">
        <is>
          <t xml:space="preserve">pp</t>
        </is>
      </c>
    </row>
    <row r="142" ht="20" customHeight="1">
      <c r="A142" s="12" t="inlineStr">
        <is>
          <r>
            <rPr>
              <sz val="12"/>
              <rFont val="KaiTi"/>
              <family val="2"/>
            </rPr>
            <t xml:space="preserve">境外销售占比变动</t>
          </r>
        </is>
      </c>
      <c r="B142" s="25">
        <v>-12.090000000000003</v>
      </c>
      <c r="C142" s="12" t="inlineStr">
        <is>
          <t xml:space="preserve">pp</t>
        </is>
      </c>
    </row>
    <row r="143" ht="20" customHeight="1">
      <c r="A143" s="12" t="inlineStr">
        <is>
          <r>
            <rPr>
              <sz val="12"/>
              <rFont val="KaiTi"/>
              <family val="2"/>
            </rPr>
            <t xml:space="preserve">直接材料占主营成本比例变动</t>
          </r>
        </is>
      </c>
      <c r="B143" s="25">
        <v>8.799999999999997</v>
      </c>
      <c r="C143" s="12" t="inlineStr">
        <is>
          <t xml:space="preserve">pp</t>
        </is>
      </c>
    </row>
    <row r="144" ht="20" customHeight="1">
      <c r="A144" s="12" t="inlineStr">
        <is>
          <r>
            <rPr>
              <sz val="12"/>
              <rFont val="KaiTi"/>
              <family val="2"/>
            </rPr>
            <t xml:space="preserve">第四季度主营收入占比变动</t>
          </r>
        </is>
      </c>
      <c r="B144" s="25">
        <v>-9.59</v>
      </c>
      <c r="C144" s="12" t="inlineStr">
        <is>
          <t xml:space="preserve">pp</t>
        </is>
      </c>
    </row>
    <row r="145" ht="20" customHeight="1">
      <c r="A145" s="12" t="inlineStr">
        <is>
          <r>
            <rPr>
              <sz val="12"/>
              <rFont val="KaiTi"/>
              <family val="2"/>
            </rPr>
            <t xml:space="preserve">云深处营业收入相当于宇树四足收入</t>
          </r>
        </is>
      </c>
      <c r="B145" s="13">
        <f>B72/B6</f>
        <v>0.48377037769256176</v>
      </c>
      <c r="C145" s="12" t="inlineStr">
        <is>
          <t xml:space="preserve">%</t>
        </is>
      </c>
    </row>
    <row r="146" ht="20" customHeight="1">
      <c r="A146" s="12" t="inlineStr">
        <is>
          <r>
            <rPr>
              <sz val="12"/>
              <rFont val="KaiTi"/>
              <family val="2"/>
            </rPr>
            <t xml:space="preserve">优必选营业收入相当于宇树主营收入</t>
          </r>
        </is>
      </c>
      <c r="B146" s="13">
        <f>B70/B10</f>
        <v>1.1938344891140555</v>
      </c>
      <c r="C146" s="12" t="inlineStr">
        <is>
          <t xml:space="preserve">%</t>
        </is>
      </c>
    </row>
    <row r="147" ht="20" customHeight="1">
      <c r="A147" s="12" t="inlineStr">
        <is>
          <r>
            <rPr>
              <sz val="12"/>
              <rFont val="KaiTi"/>
              <family val="2"/>
            </rPr>
            <t xml:space="preserve">宇树毛利率高于云深处</t>
          </r>
        </is>
      </c>
      <c r="B147" s="25">
        <v>7.609999999999999</v>
      </c>
      <c r="C147" s="12" t="inlineStr">
        <is>
          <t xml:space="preserve">pp</t>
        </is>
      </c>
    </row>
    <row r="148" ht="20" customHeight="1">
      <c r="A148" s="12" t="inlineStr">
        <is>
          <r>
            <rPr>
              <sz val="12"/>
              <rFont val="KaiTi"/>
              <family val="2"/>
            </rPr>
            <t xml:space="preserve">宇树毛利率高于优必选</t>
          </r>
        </is>
      </c>
      <c r="B148" s="25">
        <v>22.769999999999996</v>
      </c>
      <c r="C148" s="12" t="inlineStr">
        <is>
          <t xml:space="preserve">pp</t>
        </is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研发费用率低于同行平均</t>
          </r>
        </is>
      </c>
      <c r="B149" s="25">
        <v>-16.17</v>
      </c>
      <c r="C149" s="12" t="inlineStr">
        <is>
          <t xml:space="preserve">pp</t>
        </is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研发费用同比</t>
          </r>
        </is>
      </c>
      <c r="B150" s="13">
        <f>B93/D93</f>
        <v>1.0704343230929632</v>
      </c>
      <c r="C150" s="12" t="inlineStr">
        <is>
          <t xml:space="preserve">%</t>
        </is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云算力租赁及云服务费同比</t>
          </r>
        </is>
      </c>
      <c r="B151" s="13">
        <f>B92/D92</f>
        <v>11.342645381984036</v>
      </c>
      <c r="C151" s="12" t="inlineStr">
        <is>
          <t xml:space="preserve">%</t>
        </is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上半年营业收入预计下限同比</t>
          </r>
        </is>
      </c>
      <c r="B152" s="13">
        <f>B112/D112</f>
        <v>0.356160837581434</v>
      </c>
      <c r="C152" s="12" t="inlineStr">
        <is>
          <t xml:space="preserve">%</t>
        </is>
      </c>
    </row>
    <row r="153" ht="20" customHeight="1">
      <c r="A153" s="12" t="inlineStr">
        <is>
          <r>
            <rPr>
              <sz val="12"/>
              <rFont val="KaiTi"/>
              <family val="2"/>
            </rPr>
            <t xml:space="preserve">上半年营业收入预计上限同比</t>
          </r>
        </is>
      </c>
      <c r="B153" s="13">
        <f>C112/D112</f>
        <v>0.4541344342127924</v>
      </c>
      <c r="C153" s="12" t="inlineStr">
        <is>
          <t xml:space="preserve">%</t>
        </is>
      </c>
    </row>
    <row r="154" ht="20" customHeight="1">
      <c r="A154" s="12" t="inlineStr">
        <is>
          <r>
            <rPr>
              <sz val="12"/>
              <rFont val="KaiTi"/>
              <family val="2"/>
            </rPr>
            <t xml:space="preserve">一季度营业收入占上半年预计下限</t>
          </r>
        </is>
      </c>
      <c r="B154" s="13">
        <f>B104/B112</f>
        <v>0.40193963878327</v>
      </c>
      <c r="C154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预测期末 </t>
          </r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 </t>
          </r>
          <r>
            <rPr>
              <sz val="12"/>
              <rFont val="Arial"/>
              <family val="2"/>
            </rPr>
            <t xml:space="preserve">24.9% </t>
          </r>
          <r>
            <rPr>
              <sz val="12"/>
              <rFont val="KaiTi"/>
              <family val="2"/>
            </rPr>
            <t xml:space="preserve">较历史 </t>
          </r>
          <r>
            <rPr>
              <sz val="12"/>
              <rFont val="Arial"/>
              <family val="2"/>
            </rPr>
            <t xml:space="preserve">20.3% </t>
          </r>
          <r>
            <rPr>
              <sz val="12"/>
              <rFont val="KaiTi"/>
              <family val="2"/>
            </rPr>
            <t xml:space="preserve">提升超过 </t>
          </r>
          <r>
            <rPr>
              <sz val="12"/>
              <rFont val="Arial"/>
              <family val="2"/>
            </rPr>
            <t xml:space="preserve">3 </t>
          </r>
          <r>
            <rPr>
              <sz val="12"/>
              <rFont val="KaiTi"/>
              <family val="2"/>
            </rPr>
            <t xml:space="preserve">个百分点，需有充分依据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11.25%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3.00%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4.55e-13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