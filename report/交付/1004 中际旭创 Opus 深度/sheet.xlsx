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分部预测" sheetId="7" r:id="rId7"/>
    <sheet name="三表-假设" sheetId="8" r:id="rId8"/>
    <sheet name="三表-利润表" sheetId="9" r:id="rId9"/>
    <sheet name="三表-资产负债表" sheetId="10" r:id="rId10"/>
    <sheet name="三表-现金流量表" sheetId="11" r:id="rId11"/>
    <sheet name="历史财务" sheetId="12" r:id="rId12"/>
    <sheet name="分季度" sheetId="13" r:id="rId13"/>
    <sheet name="经营数据" sheetId="14" r:id="rId14"/>
    <sheet name="模型检查" sheetId="15" r:id="rId15"/>
  </sheets>
  <calcPr fullCalcOnLoad="1"/>
</workbook>
</file>

<file path=xl/styles.xml><?xml version="1.0" encoding="utf-8"?>
<styleSheet xmlns="http://schemas.openxmlformats.org/spreadsheetml/2006/main">
  <numFmts count="11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-&quot;_)"/>
    <numFmt numFmtId="172" formatCode="+0.00&quot; pp&quot;;-0.00&quot; pp&quot;;&quot;-&quot;"/>
    <numFmt numFmtId="173" formatCode="#,##0_);(#,##0);&quot;0&quot;_)"/>
    <numFmt numFmtId="174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0" borderId="3" xfId="0" applyNumberFormat="1" applyFont="1" applyFill="1" applyBorder="1" applyAlignment="1">
      <alignment horizontal="right" vertical="center"/>
    </xf>
    <xf numFmtId="171" fontId="0" fillId="0" borderId="3" xfId="0" applyNumberFormat="1" applyFont="1" applyFill="1" applyBorder="1" applyAlignment="1">
      <alignment horizontal="right" vertical="center"/>
    </xf>
    <xf numFmtId="172" fontId="7" fillId="0" borderId="3" xfId="0" applyNumberFormat="1" applyFont="1" applyFill="1" applyBorder="1" applyAlignment="1">
      <alignment horizontal="right" vertical="center"/>
    </xf>
    <xf numFmtId="165" fontId="4" fillId="0" borderId="2" xfId="0" applyNumberFormat="1" applyFont="1" applyFill="1" applyBorder="1" applyAlignment="1">
      <alignment horizontal="right" vertical="center"/>
    </xf>
    <xf numFmtId="173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8" fillId="0" borderId="3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4" fontId="0" fillId="0" borderId="3" xfId="0" applyNumberFormat="1" applyFont="1" applyFill="1" applyBorder="1" applyAlignment="1">
      <alignment horizontal="right" vertical="center"/>
    </xf>
    <xf numFmtId="173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4.5" customWidth="1"/>
    <col min="5" max="5" width="14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中际旭创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2026-10-03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0.0993625</v>
      </c>
      <c r="C5" s="7">
        <v>0.03</v>
      </c>
      <c r="D5" s="8">
        <v>570166.5595499409</v>
      </c>
      <c r="E5" s="8">
        <v>579695.4066328008</v>
      </c>
      <c r="F5" s="9">
        <v>521.7224744604033</v>
      </c>
      <c r="G5" s="7">
        <v>-0.3546552935772559</v>
      </c>
      <c r="H5" s="7">
        <v>0.7707689400091441</v>
      </c>
      <c r="I5" s="10">
        <v>10.74096770742967</v>
      </c>
      <c r="J5" s="11" t="inlineStr">
        <is>
          <r>
            <rPr>
              <sz val="12"/>
              <rFont val="KaiTi"/>
              <family val="2"/>
            </rPr>
            <t xml:space="preserve">在手订单兑现，</t>
          </r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年下半年收入略高于上半年；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 </t>
          </r>
          <r>
            <rPr>
              <sz val="12"/>
              <rFont val="Arial"/>
              <family val="2"/>
            </rPr>
            <t xml:space="preserve">800G/1.6T </t>
          </r>
          <r>
            <rPr>
              <sz val="12"/>
              <rFont val="KaiTi"/>
              <family val="2"/>
            </rPr>
            <t xml:space="preserve">需求继续增长，之后增速回落。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0.1093625</v>
      </c>
      <c r="C6" s="14">
        <v>0.02</v>
      </c>
      <c r="D6" s="15">
        <v>196888.70686896925</v>
      </c>
      <c r="E6" s="15">
        <v>206417.55395182924</v>
      </c>
      <c r="F6" s="16">
        <v>185.77459091034063</v>
      </c>
      <c r="G6" s="14">
        <v>-0.7702060871427185</v>
      </c>
      <c r="H6" s="14">
        <v>0.6513356346140108</v>
      </c>
      <c r="I6" s="17">
        <v>8.45754139827663</v>
      </c>
      <c r="J6" s="18" t="inlineStr">
        <is>
          <r>
            <rPr>
              <sz val="12"/>
              <rFont val="KaiTi"/>
              <family val="2"/>
            </rPr>
            <t xml:space="preserve">下半年收入与二季度持平，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年云厂商资本开支放缓、</t>
          </r>
          <r>
            <rPr>
              <sz val="12"/>
              <rFont val="Arial"/>
              <family val="2"/>
            </rPr>
            <t xml:space="preserve">1.6T </t>
          </r>
          <r>
            <rPr>
              <sz val="12"/>
              <rFont val="KaiTi"/>
              <family val="2"/>
            </rPr>
            <t xml:space="preserve">价格下行，美国法案与 </t>
          </r>
          <r>
            <rPr>
              <sz val="12"/>
              <rFont val="Arial"/>
              <family val="2"/>
            </rPr>
            <t xml:space="preserve">FCC </t>
          </r>
          <r>
            <rPr>
              <sz val="12"/>
              <rFont val="KaiTi"/>
              <family val="2"/>
            </rPr>
            <t xml:space="preserve">限制按公司口径落地影响部分订单。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0.0943625</v>
      </c>
      <c r="C7" s="14">
        <v>0.035</v>
      </c>
      <c r="D7" s="15">
        <v>1010544.597599451</v>
      </c>
      <c r="E7" s="15">
        <v>1020073.4446823109</v>
      </c>
      <c r="F7" s="16">
        <v>918.060132272384</v>
      </c>
      <c r="G7" s="14">
        <v>0.13559464186876435</v>
      </c>
      <c r="H7" s="14">
        <v>0.8158651682612796</v>
      </c>
      <c r="I7" s="17">
        <v>12.600184468295149</v>
      </c>
      <c r="J7" s="18" t="inlineStr">
        <is>
          <r>
            <rPr>
              <sz val="12"/>
              <rFont val="Arial"/>
              <family val="2"/>
            </rPr>
            <t xml:space="preserve">1.6T </t>
          </r>
          <r>
            <rPr>
              <sz val="12"/>
              <rFont val="KaiTi"/>
              <family val="2"/>
            </rPr>
            <t xml:space="preserve">放量快于预期，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年订单全面兑现，份额稳定。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185.77459091034063</v>
      </c>
      <c r="C10" s="16">
        <v>521.7224744604033</v>
      </c>
      <c r="D10" s="16">
        <v>918.060132272384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808.44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7.28e-12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1.5" customWidth="1"/>
    <col min="4" max="4" width="11.5" customWidth="1"/>
    <col min="5" max="5" width="12.5" customWidth="1"/>
    <col min="6" max="6" width="12.5" customWidth="1"/>
    <col min="7" max="7" width="12.5" customWidth="1"/>
    <col min="8" max="8" width="12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23862.15973837</v>
      </c>
      <c r="C5" s="20">
        <v>38239.935640669995</v>
      </c>
      <c r="D5" s="21">
        <f>'三表-利润表'!D5</f>
        <v>88431.67076017598</v>
      </c>
      <c r="E5" s="21">
        <f>'三表-利润表'!E5</f>
        <v>133307.5767392639</v>
      </c>
      <c r="F5" s="21">
        <f>'三表-利润表'!F5</f>
        <v>153186.20071593797</v>
      </c>
      <c r="G5" s="21">
        <f>'三表-利润表'!G5</f>
        <v>160440.57322582556</v>
      </c>
      <c r="H5" s="21">
        <f>'三表-利润表'!H5</f>
        <v>164942.90503436135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0.6025345593165546</v>
      </c>
      <c r="D6" s="14">
        <f>D5/C5-1</f>
        <v>1.3125475835300484</v>
      </c>
      <c r="E6" s="14">
        <f>E5/D5-1</f>
        <v>0.5074641878110617</v>
      </c>
      <c r="F6" s="14">
        <f>F5/E5-1</f>
        <v>0.14911848570734001</v>
      </c>
      <c r="G6" s="14">
        <f>G5/F5-1</f>
        <v>0.047356566557452566</v>
      </c>
      <c r="H6" s="14">
        <f>H5/G5-1</f>
        <v>0.028062301935300443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15795.56660447</v>
      </c>
      <c r="C7" s="22">
        <v>22165.53712677</v>
      </c>
      <c r="D7" s="23">
        <f>'三表-利润表'!D6</f>
        <v>47466.420914601156</v>
      </c>
      <c r="E7" s="23">
        <f>'三表-利润表'!E6</f>
        <v>72089.87685388951</v>
      </c>
      <c r="F7" s="23">
        <f>'三表-利润表'!F6</f>
        <v>84327.19900293562</v>
      </c>
      <c r="G7" s="23">
        <f>'三表-利润表'!G6</f>
        <v>89905.95249517889</v>
      </c>
      <c r="H7" s="23">
        <f>'三表-利润表'!H6</f>
        <v>93243.2625993981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8066.5931339</v>
      </c>
      <c r="C8" s="24">
        <f>C5-C7</f>
        <v>16074.398513899998</v>
      </c>
      <c r="D8" s="24">
        <f>D5-D7</f>
        <v>40965.24984557483</v>
      </c>
      <c r="E8" s="24">
        <f>E5-E7</f>
        <v>61217.699885374386</v>
      </c>
      <c r="F8" s="24">
        <f>F5-F7</f>
        <v>68859.00171300235</v>
      </c>
      <c r="G8" s="24">
        <f>G5-G7</f>
        <v>70534.62073064667</v>
      </c>
      <c r="H8" s="24">
        <f>H5-H7</f>
        <v>71699.64243496324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0.3380495823657167</v>
      </c>
      <c r="C9" s="14">
        <f>C8/C5</f>
        <v>0.4203563171482984</v>
      </c>
      <c r="D9" s="14">
        <f>D8/D5</f>
        <v>0.46324183964217236</v>
      </c>
      <c r="E9" s="14">
        <f>E8/E5</f>
        <v>0.45922145899561284</v>
      </c>
      <c r="F9" s="14">
        <f>F8/F5</f>
        <v>0.4495117797241513</v>
      </c>
      <c r="G9" s="14">
        <f>G8/G5</f>
        <v>0.4396308197638186</v>
      </c>
      <c r="H9" s="14">
        <f>H8/H5</f>
        <v>0.4346937045884246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5873.740607819999</v>
      </c>
      <c r="C10" s="22">
        <v>13389.91056862</v>
      </c>
      <c r="D10" s="23">
        <f>'三表-利润表'!D11</f>
        <v>36479.51448018909</v>
      </c>
      <c r="E10" s="23">
        <f>'三表-利润表'!E11</f>
        <v>54487.4815229432</v>
      </c>
      <c r="F10" s="23">
        <f>'三表-利润表'!F11</f>
        <v>60728.84114583554</v>
      </c>
      <c r="G10" s="23">
        <f>'三表-利润表'!G11</f>
        <v>61539.27617215807</v>
      </c>
      <c r="H10" s="23">
        <f>'三表-利润表'!H11</f>
        <v>62021.17560786935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5371.77513893</v>
      </c>
      <c r="C11" s="22">
        <v>11579.75410799</v>
      </c>
      <c r="D11" s="23">
        <f>'三表-利润表'!D17</f>
        <v>30942.4445687983</v>
      </c>
      <c r="E11" s="23">
        <f>'三表-利润表'!E17</f>
        <v>46275.79739557968</v>
      </c>
      <c r="F11" s="23">
        <f>'三表-利润表'!F17</f>
        <v>51590.16569653361</v>
      </c>
      <c r="G11" s="23">
        <f>'三表-利润表'!G17</f>
        <v>52280.231719660034</v>
      </c>
      <c r="H11" s="23">
        <f>'三表-利润表'!H17</f>
        <v>52690.55755251196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5171.485967850001</v>
      </c>
      <c r="C12" s="20">
        <v>10797.25430045</v>
      </c>
      <c r="D12" s="24">
        <f>D11*$C$12/$C$11</f>
        <v>28851.514425195746</v>
      </c>
      <c r="E12" s="24">
        <f>E11*$C$12/$C$11</f>
        <v>43148.71868405369</v>
      </c>
      <c r="F12" s="24">
        <f>F11*$C$12/$C$11</f>
        <v>48103.96949996329</v>
      </c>
      <c r="G12" s="24">
        <f>G11*$C$12/$C$11</f>
        <v>48747.40443530921</v>
      </c>
      <c r="H12" s="24">
        <f>H11*$C$12/$C$11</f>
        <v>49130.00257357963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1.0878436812115848</v>
      </c>
      <c r="D13" s="14">
        <f>D12/C12-1</f>
        <v>1.672115856713062</v>
      </c>
      <c r="E13" s="14">
        <f>E12/D12-1</f>
        <v>0.4955443256168325</v>
      </c>
      <c r="F13" s="14">
        <f>F12/E12-1</f>
        <v>0.11484120425900157</v>
      </c>
      <c r="G13" s="14">
        <f>G12/F12-1</f>
        <v>0.013375921821720092</v>
      </c>
      <c r="H13" s="14">
        <f>H12/G12-1</f>
        <v>0.007848584816000766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0.21672329850069386</v>
      </c>
      <c r="C14" s="14">
        <f>C12/C5</f>
        <v>0.28235545169083925</v>
      </c>
      <c r="D14" s="14">
        <f>D12/D5</f>
        <v>0.3262577103562838</v>
      </c>
      <c r="E14" s="14">
        <f>E12/E5</f>
        <v>0.32367791643567423</v>
      </c>
      <c r="F14" s="14">
        <f>F12/F5</f>
        <v>0.3140228641688508</v>
      </c>
      <c r="G14" s="14">
        <f>G12/G5</f>
        <v>0.30383464391326737</v>
      </c>
      <c r="H14" s="14">
        <f>H12/H5</f>
        <v>0.29786066010747614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1111.118334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808.44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898272.5059389601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4.72</v>
      </c>
      <c r="C21" s="25">
        <v>9.8</v>
      </c>
      <c r="D21" s="16">
        <f>D12/$B$16</f>
        <v>25.96619418683424</v>
      </c>
      <c r="E21" s="16">
        <f>E12/$B$16</f>
        <v>38.83359437398473</v>
      </c>
      <c r="F21" s="16">
        <f>F12/$B$16</f>
        <v>43.29329111759873</v>
      </c>
      <c r="G21" s="16">
        <f>G12/$B$16</f>
        <v>43.8723787949927</v>
      </c>
      <c r="H21" s="16">
        <f>H12/$B$16</f>
        <v>44.21671488104491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171.27966101694918</v>
      </c>
      <c r="C22" s="17">
        <f>$B$17/C21</f>
        <v>82.4938775510204</v>
      </c>
      <c r="D22" s="17">
        <f>$B$17/D21</f>
        <v>31.13432774102518</v>
      </c>
      <c r="E22" s="17">
        <f>$B$17/E21</f>
        <v>20.81805748431022</v>
      </c>
      <c r="F22" s="17">
        <f>$B$17/F21</f>
        <v>18.6735630193605</v>
      </c>
      <c r="G22" s="17">
        <f>$B$17/G21</f>
        <v>18.427083787220354</v>
      </c>
      <c r="H22" s="17">
        <f>$B$17/H21</f>
        <v>18.283583531135804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0.9324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2.5" customWidth="1"/>
    <col min="3" max="3" width="11.5" customWidth="1"/>
    <col min="4" max="4" width="12.5" customWidth="1"/>
    <col min="5" max="5" width="12.5" customWidth="1"/>
    <col min="6" max="6" width="12.5" customWidth="1"/>
    <col min="7" max="7" width="12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中际旭创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38239.935640669995</v>
      </c>
      <c r="C5" s="23">
        <f>'三表-利润表'!D5</f>
        <v>88431.67076017598</v>
      </c>
      <c r="D5" s="23">
        <f>'三表-利润表'!E5</f>
        <v>133307.5767392639</v>
      </c>
      <c r="E5" s="23">
        <f>'三表-利润表'!F5</f>
        <v>153186.20071593797</v>
      </c>
      <c r="F5" s="23">
        <f>'三表-利润表'!G5</f>
        <v>160440.57322582556</v>
      </c>
      <c r="G5" s="23">
        <f>'三表-利润表'!H5</f>
        <v>164942.90503436135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1.3125475835300486</v>
      </c>
      <c r="D6" s="14">
        <f>D5/C5-1</f>
        <v>0.5074641878110615</v>
      </c>
      <c r="E6" s="14">
        <f>E5/D5-1</f>
        <v>0.1491184857073402</v>
      </c>
      <c r="F6" s="14">
        <f>F5/E5-1</f>
        <v>0.04735656655745246</v>
      </c>
      <c r="G6" s="14">
        <f>G5/F5-1</f>
        <v>0.02806230193530035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13389.91056862</v>
      </c>
      <c r="C7" s="23">
        <f>'三表-利润表'!D11</f>
        <v>36479.51448018909</v>
      </c>
      <c r="D7" s="23">
        <f>'三表-利润表'!E11</f>
        <v>54487.4815229432</v>
      </c>
      <c r="E7" s="23">
        <f>'三表-利润表'!F11</f>
        <v>60728.84114583554</v>
      </c>
      <c r="F7" s="23">
        <f>'三表-利润表'!G11</f>
        <v>61539.276172158075</v>
      </c>
      <c r="G7" s="23">
        <f>'三表-利润表'!H11</f>
        <v>62021.17560786935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0.35015515440301087</v>
      </c>
      <c r="C8" s="14">
        <f>C7/C5</f>
        <v>0.4125164001381409</v>
      </c>
      <c r="D8" s="14">
        <f>D7/D5</f>
        <v>0.40873506859640235</v>
      </c>
      <c r="E8" s="14">
        <f>E7/E5</f>
        <v>0.3964380659746797</v>
      </c>
      <c r="F8" s="14">
        <f>F7/F5</f>
        <v>0.38356430006978004</v>
      </c>
      <c r="G8" s="14">
        <f>G7/G5</f>
        <v>0.37601602563595526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1988.7222734475497</v>
      </c>
      <c r="C9" s="15">
        <f>C7*'三表-假设'!D19</f>
        <v>5418.081218654578</v>
      </c>
      <c r="D9" s="15">
        <f>D7*'三表-假设'!E19</f>
        <v>8092.695434627303</v>
      </c>
      <c r="E9" s="15">
        <f>E7*'三表-假设'!F19</f>
        <v>9019.686756565718</v>
      </c>
      <c r="F9" s="15">
        <f>F7*'三表-假设'!G19</f>
        <v>9140.055759761815</v>
      </c>
      <c r="G9" s="15">
        <f>G7*'三表-假设'!H19</f>
        <v>9211.62936262118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11401.188295172451</v>
      </c>
      <c r="C10" s="24">
        <f>C7-C9</f>
        <v>31061.433261534516</v>
      </c>
      <c r="D10" s="24">
        <f>D7-D9</f>
        <v>46394.786088315894</v>
      </c>
      <c r="E10" s="24">
        <f>E7-E9</f>
        <v>51709.154389269825</v>
      </c>
      <c r="F10" s="24">
        <f>F7-F9</f>
        <v>52399.22041239626</v>
      </c>
      <c r="G10" s="24">
        <f>G7-G9</f>
        <v>52809.54624524817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826.2259457200001</v>
      </c>
      <c r="C11" s="23">
        <f>'三表-利润表'!D10</f>
        <v>1270.8818521811806</v>
      </c>
      <c r="D11" s="23">
        <f>'三表-利润表'!E10</f>
        <v>1883.941822216746</v>
      </c>
      <c r="E11" s="23">
        <f>'三表-利润表'!F10</f>
        <v>2561.2146079565755</v>
      </c>
      <c r="F11" s="23">
        <f>'三表-利润表'!G10</f>
        <v>3162.6724393061754</v>
      </c>
      <c r="G11" s="23">
        <f>'三表-利润表'!H10</f>
        <v>3682.116501813367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2759.99469591</v>
      </c>
      <c r="C12" s="23">
        <f>'三表-假设'!D53</f>
        <v>5305.900245610559</v>
      </c>
      <c r="D12" s="23">
        <f>'三表-假设'!E53</f>
        <v>7998.454604355833</v>
      </c>
      <c r="E12" s="23">
        <f>'三表-假设'!F53</f>
        <v>7659.310035796899</v>
      </c>
      <c r="F12" s="23">
        <f>'三表-假设'!G53</f>
        <v>8022.028661291279</v>
      </c>
      <c r="G12" s="23">
        <f>'三表-假设'!H53</f>
        <v>7422.43072654626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2963.7678921000024</v>
      </c>
      <c r="C13" s="23">
        <f>'三表-假设'!D50</f>
        <v>14346.466125784524</v>
      </c>
      <c r="D13" s="23">
        <f>'三表-假设'!E50</f>
        <v>13310.36720429857</v>
      </c>
      <c r="E13" s="23">
        <f>'三表-假设'!F50</f>
        <v>6217.121800220135</v>
      </c>
      <c r="F13" s="23">
        <f>'三表-假设'!G50</f>
        <v>2537.5062314786846</v>
      </c>
      <c r="G13" s="23">
        <f>'三表-假设'!H50</f>
        <v>1544.6774874711264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6503.651652882449</v>
      </c>
      <c r="C14" s="24">
        <f>C10+C11-C12-C13</f>
        <v>12679.948742320614</v>
      </c>
      <c r="D14" s="24">
        <f>D10+D11-D12-D13</f>
        <v>26969.906101878238</v>
      </c>
      <c r="E14" s="24">
        <f>E10+E11-E12-E13</f>
        <v>40393.93716120936</v>
      </c>
      <c r="F14" s="24">
        <f>F10+F11-F12-F13</f>
        <v>45002.35795893247</v>
      </c>
      <c r="G14" s="24">
        <f>G10+G11-G12-G13</f>
        <v>47524.55453304415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0.9537389968493123</v>
      </c>
      <c r="D17" s="26">
        <f>1/(1+$B$21)^D16</f>
        <v>0.8675382295187549</v>
      </c>
      <c r="E17" s="26">
        <f>1/(1+$B$21)^E16</f>
        <v>0.7891284535526316</v>
      </c>
      <c r="F17" s="26">
        <f>1/(1+$B$21)^F16</f>
        <v>0.7178055041468411</v>
      </c>
      <c r="G17" s="26">
        <f>1/(1+$B$21)^G16</f>
        <v>0.6529288602684202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12093.361593601561</v>
      </c>
      <c r="D18" s="24">
        <f>D14*D17</f>
        <v>23397.42458991051</v>
      </c>
      <c r="E18" s="24">
        <f>E14*E17</f>
        <v>31876.005164927323</v>
      </c>
      <c r="F18" s="24">
        <f>F14*F17</f>
        <v>32302.940242508128</v>
      </c>
      <c r="G18" s="24">
        <f>G14*G17</f>
        <v>31030.1532260249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WACC!$B$20+'三表-假设'!$D$44</f>
        <v>0.0993625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'三表-假设'!$D$40</f>
        <v>0.03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130699.88481697242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705716.9388219208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439466.67473296844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570166.5595499409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0.7707689400091441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10986.89313196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'非经营性资产'!$B$8</f>
        <v>2068.32022352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1595.59281917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74.73113151000001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1856.04232194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579695.4066328008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1111.118334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521.7224744604033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808.44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-0.3546552935772559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0.017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1.25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0.005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0.10325000000000001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0.03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0.0255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0.05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0.95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0.0993625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0.019999999999999997</v>
      </c>
      <c r="C5" s="32">
        <v>0.024999999999999998</v>
      </c>
      <c r="D5" s="32">
        <v>0.03</v>
      </c>
      <c r="E5" s="32">
        <v>0.034999999999999996</v>
      </c>
      <c r="F5" s="32">
        <v>0.04</v>
      </c>
    </row>
    <row r="6" ht="20" customHeight="1">
      <c r="A6" s="33">
        <v>0.08936250000000001</v>
      </c>
      <c r="B6" s="16">
        <v>539.3134658422971</v>
      </c>
      <c r="C6" s="16">
        <v>573.3292446022676</v>
      </c>
      <c r="D6" s="16">
        <v>613.0752029806796</v>
      </c>
      <c r="E6" s="16">
        <v>660.1324436544991</v>
      </c>
      <c r="F6" s="16">
        <v>716.7226781341068</v>
      </c>
    </row>
    <row r="7" ht="20" customHeight="1">
      <c r="A7" s="33">
        <v>0.0943625</v>
      </c>
      <c r="B7" s="16">
        <v>501.5138872171656</v>
      </c>
      <c r="C7" s="16">
        <v>530.4209665355045</v>
      </c>
      <c r="D7" s="16">
        <v>563.8193380376989</v>
      </c>
      <c r="E7" s="16">
        <v>602.843882882019</v>
      </c>
      <c r="F7" s="16">
        <v>649.0470057616246</v>
      </c>
    </row>
    <row r="8" ht="20" customHeight="1">
      <c r="A8" s="33">
        <v>0.0993625</v>
      </c>
      <c r="B8" s="16">
        <v>468.52953528834473</v>
      </c>
      <c r="C8" s="16">
        <v>493.3377063646392</v>
      </c>
      <c r="D8" s="9">
        <v>521.7224744604033</v>
      </c>
      <c r="E8" s="16">
        <v>554.5173832585581</v>
      </c>
      <c r="F8" s="16">
        <v>592.8368081734797</v>
      </c>
    </row>
    <row r="9" ht="20" customHeight="1">
      <c r="A9" s="33">
        <v>0.10436250000000001</v>
      </c>
      <c r="B9" s="16">
        <v>439.50256982103826</v>
      </c>
      <c r="C9" s="16">
        <v>460.9767384565742</v>
      </c>
      <c r="D9" s="16">
        <v>485.3386756092441</v>
      </c>
      <c r="E9" s="16">
        <v>513.2128761827348</v>
      </c>
      <c r="F9" s="16">
        <v>545.4178905955717</v>
      </c>
    </row>
    <row r="10" ht="20" customHeight="1">
      <c r="A10" s="33">
        <v>0.1093625</v>
      </c>
      <c r="B10" s="16">
        <v>413.7672044704465</v>
      </c>
      <c r="C10" s="16">
        <v>432.4968289100496</v>
      </c>
      <c r="D10" s="16">
        <v>453.58646272934766</v>
      </c>
      <c r="E10" s="16">
        <v>477.5121542147137</v>
      </c>
      <c r="F10" s="16">
        <v>504.8872155303724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14.0</v>
      </c>
      <c r="C13" s="34">
        <v>16.0</v>
      </c>
      <c r="D13" s="34">
        <v>18.0</v>
      </c>
      <c r="E13" s="34">
        <v>20.0</v>
      </c>
      <c r="F13" s="34">
        <v>22.0</v>
      </c>
    </row>
    <row r="14" ht="20" customHeight="1">
      <c r="A14" s="33">
        <v>0.08936250000000001</v>
      </c>
      <c r="B14" s="16">
        <v>668.9513893572962</v>
      </c>
      <c r="C14" s="16">
        <v>746.0407967314761</v>
      </c>
      <c r="D14" s="16">
        <v>823.1302041056558</v>
      </c>
      <c r="E14" s="16">
        <v>900.2196114798357</v>
      </c>
      <c r="F14" s="16">
        <v>977.3090188540158</v>
      </c>
    </row>
    <row r="15" ht="20" customHeight="1">
      <c r="A15" s="33">
        <v>0.0943625</v>
      </c>
      <c r="B15" s="16">
        <v>655.1600829087425</v>
      </c>
      <c r="C15" s="16">
        <v>730.5044516078128</v>
      </c>
      <c r="D15" s="16">
        <v>805.8488203068831</v>
      </c>
      <c r="E15" s="16">
        <v>881.1931890059534</v>
      </c>
      <c r="F15" s="16">
        <v>956.5375577050239</v>
      </c>
    </row>
    <row r="16" ht="20" customHeight="1">
      <c r="A16" s="33">
        <v>0.0993625</v>
      </c>
      <c r="B16" s="16">
        <v>641.7306647676202</v>
      </c>
      <c r="C16" s="16">
        <v>715.3771828342262</v>
      </c>
      <c r="D16" s="9">
        <v>789.0237009008323</v>
      </c>
      <c r="E16" s="16">
        <v>862.6702189674384</v>
      </c>
      <c r="F16" s="16">
        <v>936.3167370340446</v>
      </c>
    </row>
    <row r="17" ht="20" customHeight="1">
      <c r="A17" s="33">
        <v>0.10436250000000001</v>
      </c>
      <c r="B17" s="16">
        <v>628.6519545633377</v>
      </c>
      <c r="C17" s="16">
        <v>700.6463280345696</v>
      </c>
      <c r="D17" s="16">
        <v>772.6407015058016</v>
      </c>
      <c r="E17" s="16">
        <v>844.6350749770337</v>
      </c>
      <c r="F17" s="16">
        <v>916.6294484482657</v>
      </c>
    </row>
    <row r="18" ht="20" customHeight="1">
      <c r="A18" s="33">
        <v>0.1093625</v>
      </c>
      <c r="B18" s="16">
        <v>615.913167263815</v>
      </c>
      <c r="C18" s="16">
        <v>686.2996731268937</v>
      </c>
      <c r="D18" s="16">
        <v>756.6861789899725</v>
      </c>
      <c r="E18" s="16">
        <v>827.0726848530512</v>
      </c>
      <c r="F18" s="16">
        <v>897.4591907161299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-0.04</v>
      </c>
      <c r="C21" s="35">
        <v>-0.02</v>
      </c>
      <c r="D21" s="35">
        <v>0.0</v>
      </c>
      <c r="E21" s="35">
        <v>0.02</v>
      </c>
      <c r="F21" s="35">
        <v>0.04</v>
      </c>
    </row>
    <row r="22" ht="20" customHeight="1">
      <c r="A22" s="36">
        <v>-0.1</v>
      </c>
      <c r="B22" s="16">
        <v>356.91769970310884</v>
      </c>
      <c r="C22" s="16">
        <v>379.2173079418747</v>
      </c>
      <c r="D22" s="16">
        <v>401.5169161806405</v>
      </c>
      <c r="E22" s="16">
        <v>423.81652441940645</v>
      </c>
      <c r="F22" s="16">
        <v>446.11613265817215</v>
      </c>
    </row>
    <row r="23" ht="20" customHeight="1">
      <c r="A23" s="36">
        <v>-0.05</v>
      </c>
      <c r="B23" s="16">
        <v>405.1561220300084</v>
      </c>
      <c r="C23" s="16">
        <v>431.8087218409422</v>
      </c>
      <c r="D23" s="16">
        <v>458.46132165187606</v>
      </c>
      <c r="E23" s="16">
        <v>485.11392146280986</v>
      </c>
      <c r="F23" s="16">
        <v>511.76652127374365</v>
      </c>
    </row>
    <row r="24" ht="20" customHeight="1">
      <c r="A24" s="36">
        <v>0.0</v>
      </c>
      <c r="B24" s="16">
        <v>458.30195457165047</v>
      </c>
      <c r="C24" s="16">
        <v>490.0122145160268</v>
      </c>
      <c r="D24" s="9">
        <v>521.7224744604033</v>
      </c>
      <c r="E24" s="16">
        <v>553.4327344047796</v>
      </c>
      <c r="F24" s="16">
        <v>585.142994349156</v>
      </c>
    </row>
    <row r="25" ht="20" customHeight="1">
      <c r="A25" s="36">
        <v>0.05</v>
      </c>
      <c r="B25" s="16">
        <v>516.6323087330903</v>
      </c>
      <c r="C25" s="16">
        <v>554.187937569788</v>
      </c>
      <c r="D25" s="16">
        <v>591.7435664064858</v>
      </c>
      <c r="E25" s="16">
        <v>629.2991952431835</v>
      </c>
      <c r="F25" s="16">
        <v>666.8548240798812</v>
      </c>
    </row>
    <row r="26" ht="20" customHeight="1">
      <c r="A26" s="36">
        <v>0.1</v>
      </c>
      <c r="B26" s="16">
        <v>580.4260751964575</v>
      </c>
      <c r="C26" s="16">
        <v>624.7040161422525</v>
      </c>
      <c r="D26" s="16">
        <v>668.9819570880476</v>
      </c>
      <c r="E26" s="16">
        <v>713.2598980338427</v>
      </c>
      <c r="F26" s="16">
        <v>757.5378389796375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交易性金融资产</t>
          </r>
        </is>
      </c>
      <c r="B5" s="22">
        <v>10.01613699</v>
      </c>
      <c r="C5" s="12" t="inlineStr">
        <is>
          <t xml:space="preserve">p.90</t>
        </is>
      </c>
      <c r="D5" s="12" t="inlineStr">
        <is>
          <t xml:space="preserve">10,016,136.99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6" s="22">
        <v>1262.9648811700001</v>
      </c>
      <c r="C6" s="12" t="inlineStr">
        <is>
          <t xml:space="preserve">p.90</t>
        </is>
      </c>
      <c r="D6" s="12" t="inlineStr">
        <is>
          <t xml:space="preserve">1,262,964,881.17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其他非流动金融资产</t>
          </r>
        </is>
      </c>
      <c r="B7" s="22">
        <v>795.33920536</v>
      </c>
      <c r="C7" s="12" t="inlineStr">
        <is>
          <t xml:space="preserve">p.90</t>
        </is>
      </c>
      <c r="D7" s="12" t="inlineStr">
        <is>
          <t xml:space="preserve">795,339,205.36</t>
        </is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8" s="24">
        <f>SUM(B5:B7)</f>
        <v>2068.32022352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分部预测：产品量价、毛利率与费用率（驱动三表）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单位：百万元；蓝色为输入（报表值、驱动假设），黑色为公式，绿色为跨表引用；吨价单位万元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吨；收入增速、综合毛利率、经营费用率由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按情景开关引用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分部预测（百万元）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基准情景</t>
          </r>
        </is>
      </c>
      <c r="B5" s="31"/>
      <c r="C5" s="31"/>
      <c r="D5" s="31"/>
      <c r="E5" s="31"/>
      <c r="F5" s="31"/>
      <c r="G5" s="31"/>
      <c r="H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光模块：销量增速</t>
          </r>
        </is>
      </c>
      <c r="B6" s="12"/>
      <c r="C6" s="12"/>
      <c r="D6" s="30">
        <v>0.95</v>
      </c>
      <c r="E6" s="30">
        <v>0.35</v>
      </c>
      <c r="F6" s="30">
        <v>0.15</v>
      </c>
      <c r="G6" s="30">
        <v>0.08</v>
      </c>
      <c r="H6" s="30">
        <v>0.06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光模块：销量（吨）</t>
          </r>
        </is>
      </c>
      <c r="B7" s="12"/>
      <c r="C7" s="37">
        <v>2109.0</v>
      </c>
      <c r="D7" s="38">
        <f>C7*(1+D6)</f>
        <v>4112.55</v>
      </c>
      <c r="E7" s="38">
        <f>D7*(1+E6)</f>
        <v>5551.942500000001</v>
      </c>
      <c r="F7" s="38">
        <f>E7*(1+F6)</f>
        <v>6384.733875000001</v>
      </c>
      <c r="G7" s="38">
        <f>F7*(1+G6)</f>
        <v>6895.512585000001</v>
      </c>
      <c r="H7" s="38">
        <f>G7*(1+H6)</f>
        <v>7309.243340100002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光模块：吨价增速</t>
          </r>
        </is>
      </c>
      <c r="B8" s="12"/>
      <c r="C8" s="12"/>
      <c r="D8" s="30">
        <v>0.2</v>
      </c>
      <c r="E8" s="30">
        <v>0.12</v>
      </c>
      <c r="F8" s="30">
        <v>0.0</v>
      </c>
      <c r="G8" s="30">
        <v>-0.03</v>
      </c>
      <c r="H8" s="30">
        <v>-0.03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光模块：吨价（万元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9" s="12"/>
      <c r="C9" s="16">
        <f>C10*100/C7</f>
        <v>1776.0321833048838</v>
      </c>
      <c r="D9" s="16">
        <f>C9*(1+D8)</f>
        <v>2131.2386199658604</v>
      </c>
      <c r="E9" s="16">
        <f>D9*(1+E8)</f>
        <v>2386.987254361764</v>
      </c>
      <c r="F9" s="16">
        <f>E9*(1+F8)</f>
        <v>2386.987254361764</v>
      </c>
      <c r="G9" s="16">
        <f>F9*(1+G8)</f>
        <v>2315.377636730911</v>
      </c>
      <c r="H9" s="16">
        <f>G9*(1+H8)</f>
        <v>2245.9163076289838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光模块：收入</t>
          </r>
        </is>
      </c>
      <c r="B10" s="19"/>
      <c r="C10" s="20">
        <v>37456.5187459</v>
      </c>
      <c r="D10" s="24">
        <f>D7*D9/100</f>
        <v>87648.25386540599</v>
      </c>
      <c r="E10" s="24">
        <f>E7*E9/100</f>
        <v>132524.1598444939</v>
      </c>
      <c r="F10" s="24">
        <f>F7*F9/100</f>
        <v>152402.78382116798</v>
      </c>
      <c r="G10" s="24">
        <f>G7*G9/100</f>
        <v>159657.15633105556</v>
      </c>
      <c r="H10" s="24">
        <f>H7*H9/100</f>
        <v>164159.48813959135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光模块：毛利率变动（百分点）</t>
          </r>
        </is>
      </c>
      <c r="B11" s="12"/>
      <c r="C11" s="12"/>
      <c r="D11" s="39">
        <v>4.0</v>
      </c>
      <c r="E11" s="39">
        <v>-0.5</v>
      </c>
      <c r="F11" s="39">
        <v>-1.0</v>
      </c>
      <c r="G11" s="39">
        <v>-1.0</v>
      </c>
      <c r="H11" s="39">
        <v>-0.5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光模块：毛利率</t>
          </r>
        </is>
      </c>
      <c r="B12" s="12"/>
      <c r="C12" s="14">
        <f>1-C13/C10</f>
        <v>0.4260645926294703</v>
      </c>
      <c r="D12" s="14">
        <f>C12+D11/100</f>
        <v>0.46606459262947025</v>
      </c>
      <c r="E12" s="14">
        <f>D12+E11/100</f>
        <v>0.46106459262947025</v>
      </c>
      <c r="F12" s="14">
        <f>E12+F11/100</f>
        <v>0.45106459262947024</v>
      </c>
      <c r="G12" s="14">
        <f>F12+G11/100</f>
        <v>0.44106459262947023</v>
      </c>
      <c r="H12" s="14">
        <f>G12+H11/100</f>
        <v>0.4360645926294702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光模块：营业成本</t>
          </r>
        </is>
      </c>
      <c r="B13" s="12"/>
      <c r="C13" s="22">
        <v>21497.62234511</v>
      </c>
      <c r="D13" s="15">
        <f>D10*(1-D12)</f>
        <v>46798.50613294116</v>
      </c>
      <c r="E13" s="15">
        <f>E10*(1-E12)</f>
        <v>71421.96207222951</v>
      </c>
      <c r="F13" s="15">
        <f>F10*(1-F12)</f>
        <v>83659.28422127562</v>
      </c>
      <c r="G13" s="15">
        <f>G10*(1-G12)</f>
        <v>89238.03771351889</v>
      </c>
      <c r="H13" s="15">
        <f>H10*(1-H12)</f>
        <v>92575.3478177381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14" s="12"/>
      <c r="C14" s="22">
        <v>783.4168947699945</v>
      </c>
      <c r="D14" s="15">
        <f>C14</f>
        <v>783.4168947699945</v>
      </c>
      <c r="E14" s="15">
        <f>D14</f>
        <v>783.4168947699945</v>
      </c>
      <c r="F14" s="15">
        <f>E14</f>
        <v>783.4168947699945</v>
      </c>
      <c r="G14" s="15">
        <f>F14</f>
        <v>783.4168947699945</v>
      </c>
      <c r="H14" s="15">
        <f>G14</f>
        <v>783.4168947699945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15" s="12"/>
      <c r="C15" s="22">
        <v>667.914781659998</v>
      </c>
      <c r="D15" s="15">
        <f>C15</f>
        <v>667.914781659998</v>
      </c>
      <c r="E15" s="15">
        <f>D15</f>
        <v>667.914781659998</v>
      </c>
      <c r="F15" s="15">
        <f>E15</f>
        <v>667.914781659998</v>
      </c>
      <c r="G15" s="15">
        <f>F15</f>
        <v>667.914781659998</v>
      </c>
      <c r="H15" s="15">
        <f>G15</f>
        <v>667.914781659998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16" s="19"/>
      <c r="C16" s="24">
        <f>C10+C14</f>
        <v>38239.935640669995</v>
      </c>
      <c r="D16" s="24">
        <f>D10+D14</f>
        <v>88431.67076017598</v>
      </c>
      <c r="E16" s="24">
        <f>E10+E14</f>
        <v>133307.5767392639</v>
      </c>
      <c r="F16" s="24">
        <f>F10+F14</f>
        <v>153186.20071593797</v>
      </c>
      <c r="G16" s="24">
        <f>G10+G14</f>
        <v>160440.57322582556</v>
      </c>
      <c r="H16" s="24">
        <f>H10+H14</f>
        <v>164942.90503436135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17" s="12"/>
      <c r="C17" s="12"/>
      <c r="D17" s="14">
        <f>D16/C16-1</f>
        <v>1.3125475835300486</v>
      </c>
      <c r="E17" s="14">
        <f>E16/D16-1</f>
        <v>0.5074641878110615</v>
      </c>
      <c r="F17" s="14">
        <f>F16/E16-1</f>
        <v>0.1491184857073402</v>
      </c>
      <c r="G17" s="14">
        <f>G16/F16-1</f>
        <v>0.04735656655745246</v>
      </c>
      <c r="H17" s="14">
        <f>H16/G16-1</f>
        <v>0.02806230193530035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18" s="12"/>
      <c r="C18" s="15">
        <f>C13+C15</f>
        <v>22165.53712677</v>
      </c>
      <c r="D18" s="15">
        <f>D13+D15</f>
        <v>47466.420914601156</v>
      </c>
      <c r="E18" s="15">
        <f>E13+E15</f>
        <v>72089.87685388951</v>
      </c>
      <c r="F18" s="15">
        <f>F13+F15</f>
        <v>84327.19900293562</v>
      </c>
      <c r="G18" s="15">
        <f>G13+G15</f>
        <v>89905.95249517889</v>
      </c>
      <c r="H18" s="15">
        <f>H13+H15</f>
        <v>93243.2625993981</v>
      </c>
    </row>
    <row r="19" ht="20" customHeight="1">
      <c r="A19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19" s="19"/>
      <c r="C19" s="40">
        <f>1-C18/C16</f>
        <v>0.42035631714829835</v>
      </c>
      <c r="D19" s="40">
        <f>1-D18/D16</f>
        <v>0.46324183964217236</v>
      </c>
      <c r="E19" s="40">
        <f>1-E18/E16</f>
        <v>0.45922145899561284</v>
      </c>
      <c r="F19" s="40">
        <f>1-F18/F16</f>
        <v>0.44951177972415135</v>
      </c>
      <c r="G19" s="40">
        <f>1-G18/G16</f>
        <v>0.4396308197638187</v>
      </c>
      <c r="H19" s="40">
        <f>1-H18/H16</f>
        <v>0.4346937045884246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20" s="12"/>
      <c r="C20" s="28">
        <v>0.0020298516380724747</v>
      </c>
      <c r="D20" s="28">
        <v>0.0020298516380724747</v>
      </c>
      <c r="E20" s="28">
        <v>0.0020298516380724747</v>
      </c>
      <c r="F20" s="28">
        <v>0.0020298516380724747</v>
      </c>
      <c r="G20" s="28">
        <v>0.0020298516380724747</v>
      </c>
      <c r="H20" s="28">
        <v>0.0020298516380724747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21" s="12"/>
      <c r="C21" s="28">
        <v>0.0059146323920444025</v>
      </c>
      <c r="D21" s="28">
        <v>0.0059146323920444025</v>
      </c>
      <c r="E21" s="28">
        <v>0.0059146323920444025</v>
      </c>
      <c r="F21" s="28">
        <v>0.0059146323920444025</v>
      </c>
      <c r="G21" s="28">
        <v>0.0059146323920444025</v>
      </c>
      <c r="H21" s="28">
        <v>0.0059146323920444025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22" s="12"/>
      <c r="C22" s="28">
        <v>0.019897380360148244</v>
      </c>
      <c r="D22" s="28">
        <v>0.019897380360148244</v>
      </c>
      <c r="E22" s="28">
        <v>0.019897380360148244</v>
      </c>
      <c r="F22" s="28">
        <v>0.019897380360148244</v>
      </c>
      <c r="G22" s="28">
        <v>0.019897380360148244</v>
      </c>
      <c r="H22" s="28">
        <v>0.019897380360148244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23" s="12"/>
      <c r="C23" s="28">
        <v>0.04224070261410354</v>
      </c>
      <c r="D23" s="28">
        <v>0.03</v>
      </c>
      <c r="E23" s="28">
        <v>0.03</v>
      </c>
      <c r="F23" s="28">
        <v>0.03</v>
      </c>
      <c r="G23" s="28">
        <v>0.03</v>
      </c>
      <c r="H23" s="28">
        <v>0.03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24" s="12"/>
      <c r="C24" s="28">
        <v>-0.02148776765581417</v>
      </c>
      <c r="D24" s="28">
        <v>-0.02148776765581417</v>
      </c>
      <c r="E24" s="28">
        <v>-0.02148776765581417</v>
      </c>
      <c r="F24" s="28">
        <v>-0.02148776765581417</v>
      </c>
      <c r="G24" s="28">
        <v>-0.02148776765581417</v>
      </c>
      <c r="H24" s="28">
        <v>-0.02148776765581417</v>
      </c>
    </row>
    <row r="25" ht="20" customHeight="1">
      <c r="A25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25" s="19"/>
      <c r="C25" s="29">
        <f>SUM(C20:C24)</f>
        <v>0.048594799348554485</v>
      </c>
      <c r="D25" s="29">
        <f>SUM(D20:D24)</f>
        <v>0.03635409673445095</v>
      </c>
      <c r="E25" s="29">
        <f>SUM(E20:E24)</f>
        <v>0.03635409673445095</v>
      </c>
      <c r="F25" s="29">
        <f>SUM(F20:F24)</f>
        <v>0.03635409673445095</v>
      </c>
      <c r="G25" s="29">
        <f>SUM(G20:G24)</f>
        <v>0.03635409673445095</v>
      </c>
      <c r="H25" s="29">
        <f>SUM(H20:H24)</f>
        <v>0.03635409673445095</v>
      </c>
    </row>
    <row r="26" ht="20" customHeight="1">
      <c r="A26" s="31" t="inlineStr">
        <is>
          <r>
            <rPr>
              <b/>
              <sz val="12"/>
              <rFont val="KaiTi"/>
              <family val="2"/>
            </rPr>
            <t xml:space="preserve">悲观情景</t>
          </r>
        </is>
      </c>
      <c r="B26" s="31"/>
      <c r="C26" s="31"/>
      <c r="D26" s="31"/>
      <c r="E26" s="31"/>
      <c r="F26" s="31"/>
      <c r="G26" s="31"/>
      <c r="H26" s="31"/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光模块：销量增速</t>
          </r>
        </is>
      </c>
      <c r="B27" s="12"/>
      <c r="C27" s="12"/>
      <c r="D27" s="30">
        <v>0.85</v>
      </c>
      <c r="E27" s="30">
        <v>0.0</v>
      </c>
      <c r="F27" s="30">
        <v>-0.05</v>
      </c>
      <c r="G27" s="30">
        <v>0.03</v>
      </c>
      <c r="H27" s="30">
        <v>0.03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光模块：销量（吨）</t>
          </r>
        </is>
      </c>
      <c r="B28" s="12"/>
      <c r="C28" s="37">
        <v>2109.0</v>
      </c>
      <c r="D28" s="38">
        <f>C28*(1+D27)</f>
        <v>3901.65</v>
      </c>
      <c r="E28" s="38">
        <f>D28*(1+E27)</f>
        <v>3901.65</v>
      </c>
      <c r="F28" s="38">
        <f>E28*(1+F27)</f>
        <v>3706.5675</v>
      </c>
      <c r="G28" s="38">
        <f>F28*(1+G27)</f>
        <v>3817.764525</v>
      </c>
      <c r="H28" s="38">
        <f>G28*(1+H27)</f>
        <v>3932.29746075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光模块：吨价增速</t>
          </r>
        </is>
      </c>
      <c r="B29" s="12"/>
      <c r="C29" s="12"/>
      <c r="D29" s="30">
        <v>0.18</v>
      </c>
      <c r="E29" s="30">
        <v>-0.08</v>
      </c>
      <c r="F29" s="30">
        <v>-0.05</v>
      </c>
      <c r="G29" s="30">
        <v>-0.03</v>
      </c>
      <c r="H29" s="30">
        <v>-0.03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光模块：吨价（万元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30" s="12"/>
      <c r="C30" s="16">
        <f>C31*100/C28</f>
        <v>1776.0321833048838</v>
      </c>
      <c r="D30" s="16">
        <f>C30*(1+D29)</f>
        <v>2095.717976299763</v>
      </c>
      <c r="E30" s="16">
        <f>D30*(1+E29)</f>
        <v>1928.060538195782</v>
      </c>
      <c r="F30" s="16">
        <f>E30*(1+F29)</f>
        <v>1831.657511285993</v>
      </c>
      <c r="G30" s="16">
        <f>F30*(1+G29)</f>
        <v>1776.7077859474132</v>
      </c>
      <c r="H30" s="16">
        <f>G30*(1+H29)</f>
        <v>1723.4065523689908</v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光模块：收入</t>
          </r>
        </is>
      </c>
      <c r="B31" s="19"/>
      <c r="C31" s="20">
        <v>37456.5187459</v>
      </c>
      <c r="D31" s="24">
        <f>D28*D30/100</f>
        <v>81767.58042229971</v>
      </c>
      <c r="E31" s="24">
        <f>E28*E30/100</f>
        <v>75226.17398851573</v>
      </c>
      <c r="F31" s="24">
        <f>F28*F30/100</f>
        <v>67891.62202463545</v>
      </c>
      <c r="G31" s="24">
        <f>G28*G30/100</f>
        <v>67830.51956481328</v>
      </c>
      <c r="H31" s="24">
        <f>H28*H30/100</f>
        <v>67769.47209720494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光模块：毛利率变动（百分点）</t>
          </r>
        </is>
      </c>
      <c r="B32" s="12"/>
      <c r="C32" s="12"/>
      <c r="D32" s="39">
        <v>3.0</v>
      </c>
      <c r="E32" s="39">
        <v>-2.0</v>
      </c>
      <c r="F32" s="39">
        <v>-1.0</v>
      </c>
      <c r="G32" s="39">
        <v>-0.5</v>
      </c>
      <c r="H32" s="39">
        <v>-0.5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光模块：毛利率</t>
          </r>
        </is>
      </c>
      <c r="B33" s="12"/>
      <c r="C33" s="14">
        <f>1-C34/C31</f>
        <v>0.4260645926294703</v>
      </c>
      <c r="D33" s="14">
        <f>C33+D32/100</f>
        <v>0.4560645926294703</v>
      </c>
      <c r="E33" s="14">
        <f>D33+E32/100</f>
        <v>0.4360645926294703</v>
      </c>
      <c r="F33" s="14">
        <f>E33+F32/100</f>
        <v>0.4260645926294703</v>
      </c>
      <c r="G33" s="14">
        <f>F33+G32/100</f>
        <v>0.42106459262947027</v>
      </c>
      <c r="H33" s="14">
        <f>G33+H32/100</f>
        <v>0.41606459262947026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光模块：营业成本</t>
          </r>
        </is>
      </c>
      <c r="B34" s="12"/>
      <c r="C34" s="22">
        <v>21497.62234511</v>
      </c>
      <c r="D34" s="15">
        <f>D31*(1-D33)</f>
        <v>44476.28216670614</v>
      </c>
      <c r="E34" s="15">
        <f>E31*(1-E33)</f>
        <v>42422.703073139965</v>
      </c>
      <c r="F34" s="15">
        <f>F31*(1-F33)</f>
        <v>38965.405743755175</v>
      </c>
      <c r="G34" s="15">
        <f>G31*(1-G33)</f>
        <v>39269.489476409864</v>
      </c>
      <c r="H34" s="15">
        <f>H31*(1-H33)</f>
        <v>39572.99429636711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35" s="12"/>
      <c r="C35" s="22">
        <v>783.4168947699945</v>
      </c>
      <c r="D35" s="15">
        <f>C35</f>
        <v>783.4168947699945</v>
      </c>
      <c r="E35" s="15">
        <f>D35</f>
        <v>783.4168947699945</v>
      </c>
      <c r="F35" s="15">
        <f>E35</f>
        <v>783.4168947699945</v>
      </c>
      <c r="G35" s="15">
        <f>F35</f>
        <v>783.4168947699945</v>
      </c>
      <c r="H35" s="15">
        <f>G35</f>
        <v>783.4168947699945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36" s="12"/>
      <c r="C36" s="22">
        <v>667.914781659998</v>
      </c>
      <c r="D36" s="15">
        <f>C36</f>
        <v>667.914781659998</v>
      </c>
      <c r="E36" s="15">
        <f>D36</f>
        <v>667.914781659998</v>
      </c>
      <c r="F36" s="15">
        <f>E36</f>
        <v>667.914781659998</v>
      </c>
      <c r="G36" s="15">
        <f>F36</f>
        <v>667.914781659998</v>
      </c>
      <c r="H36" s="15">
        <f>G36</f>
        <v>667.914781659998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37" s="19"/>
      <c r="C37" s="24">
        <f>C31+C35</f>
        <v>38239.935640669995</v>
      </c>
      <c r="D37" s="24">
        <f>D31+D35</f>
        <v>82550.9973170697</v>
      </c>
      <c r="E37" s="24">
        <f>E31+E35</f>
        <v>76009.59088328572</v>
      </c>
      <c r="F37" s="24">
        <f>F31+F35</f>
        <v>68675.03891940544</v>
      </c>
      <c r="G37" s="24">
        <f>G31+G35</f>
        <v>68613.93645958327</v>
      </c>
      <c r="H37" s="24">
        <f>H31+H35</f>
        <v>68552.88899197493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38" s="12"/>
      <c r="C38" s="12"/>
      <c r="D38" s="14">
        <f>D37/C37-1</f>
        <v>1.1587640233701855</v>
      </c>
      <c r="E38" s="14">
        <f>E37/D37-1</f>
        <v>-0.07924079231482961</v>
      </c>
      <c r="F38" s="14">
        <f>F37/E37-1</f>
        <v>-0.09649508540498042</v>
      </c>
      <c r="G38" s="14">
        <f>G37/F37-1</f>
        <v>-0.000889733166280049</v>
      </c>
      <c r="H38" s="14">
        <f>H37/G37-1</f>
        <v>-0.0008897240234030379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39" s="12"/>
      <c r="C39" s="15">
        <f>C34+C36</f>
        <v>22165.53712677</v>
      </c>
      <c r="D39" s="15">
        <f>D34+D36</f>
        <v>45144.19694836614</v>
      </c>
      <c r="E39" s="15">
        <f>E34+E36</f>
        <v>43090.61785479996</v>
      </c>
      <c r="F39" s="15">
        <f>F34+F36</f>
        <v>39633.32052541517</v>
      </c>
      <c r="G39" s="15">
        <f>G34+G36</f>
        <v>39937.40425806986</v>
      </c>
      <c r="H39" s="15">
        <f>H34+H36</f>
        <v>40240.90907802711</v>
      </c>
    </row>
    <row r="40" ht="20" customHeight="1">
      <c r="A40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40" s="19"/>
      <c r="C40" s="40">
        <f>1-C39/C37</f>
        <v>0.42035631714829835</v>
      </c>
      <c r="D40" s="40">
        <f>1-D39/D37</f>
        <v>0.4531356565569763</v>
      </c>
      <c r="E40" s="40">
        <f>1-E39/E37</f>
        <v>0.43308972783491917</v>
      </c>
      <c r="F40" s="40">
        <f>1-F39/F37</f>
        <v>0.4228860857009865</v>
      </c>
      <c r="G40" s="40">
        <f>1-G39/G37</f>
        <v>0.41794034391839907</v>
      </c>
      <c r="H40" s="40">
        <f>1-H39/H37</f>
        <v>0.4129947013212256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41" s="12"/>
      <c r="C41" s="28">
        <v>0.0020298516380724747</v>
      </c>
      <c r="D41" s="28">
        <v>0.0020298516380724747</v>
      </c>
      <c r="E41" s="28">
        <v>0.0020298516380724747</v>
      </c>
      <c r="F41" s="28">
        <v>0.0020298516380724747</v>
      </c>
      <c r="G41" s="28">
        <v>0.0020298516380724747</v>
      </c>
      <c r="H41" s="28">
        <v>0.0020298516380724747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42" s="12"/>
      <c r="C42" s="28">
        <v>0.0059146323920444025</v>
      </c>
      <c r="D42" s="28">
        <v>0.0059146323920444025</v>
      </c>
      <c r="E42" s="28">
        <v>0.0059146323920444025</v>
      </c>
      <c r="F42" s="28">
        <v>0.0059146323920444025</v>
      </c>
      <c r="G42" s="28">
        <v>0.0059146323920444025</v>
      </c>
      <c r="H42" s="28">
        <v>0.0059146323920444025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43" s="12"/>
      <c r="C43" s="28">
        <v>0.019897380360148244</v>
      </c>
      <c r="D43" s="28">
        <v>0.019897380360148244</v>
      </c>
      <c r="E43" s="28">
        <v>0.019897380360148244</v>
      </c>
      <c r="F43" s="28">
        <v>0.019897380360148244</v>
      </c>
      <c r="G43" s="28">
        <v>0.019897380360148244</v>
      </c>
      <c r="H43" s="28">
        <v>0.019897380360148244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44" s="12"/>
      <c r="C44" s="28">
        <v>0.04224070261410354</v>
      </c>
      <c r="D44" s="28">
        <v>0.035</v>
      </c>
      <c r="E44" s="28">
        <v>0.035</v>
      </c>
      <c r="F44" s="28">
        <v>0.035</v>
      </c>
      <c r="G44" s="28">
        <v>0.035</v>
      </c>
      <c r="H44" s="28">
        <v>0.035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45" s="12"/>
      <c r="C45" s="28">
        <v>-0.02148776765581417</v>
      </c>
      <c r="D45" s="28">
        <v>-0.02148776765581417</v>
      </c>
      <c r="E45" s="28">
        <v>-0.02148776765581417</v>
      </c>
      <c r="F45" s="28">
        <v>-0.02148776765581417</v>
      </c>
      <c r="G45" s="28">
        <v>-0.02148776765581417</v>
      </c>
      <c r="H45" s="28">
        <v>-0.02148776765581417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46" s="19"/>
      <c r="C46" s="29">
        <f>SUM(C41:C45)</f>
        <v>0.048594799348554485</v>
      </c>
      <c r="D46" s="29">
        <f>SUM(D41:D45)</f>
        <v>0.04135409673445095</v>
      </c>
      <c r="E46" s="29">
        <f>SUM(E41:E45)</f>
        <v>0.04135409673445095</v>
      </c>
      <c r="F46" s="29">
        <f>SUM(F41:F45)</f>
        <v>0.04135409673445095</v>
      </c>
      <c r="G46" s="29">
        <f>SUM(G41:G45)</f>
        <v>0.04135409673445095</v>
      </c>
      <c r="H46" s="29">
        <f>SUM(H41:H45)</f>
        <v>0.04135409673445095</v>
      </c>
    </row>
    <row r="47" ht="20" customHeight="1">
      <c r="A47" s="31" t="inlineStr">
        <is>
          <r>
            <rPr>
              <b/>
              <sz val="12"/>
              <rFont val="KaiTi"/>
              <family val="2"/>
            </rPr>
            <t xml:space="preserve">乐观情景</t>
          </r>
        </is>
      </c>
      <c r="B47" s="31"/>
      <c r="C47" s="31"/>
      <c r="D47" s="31"/>
      <c r="E47" s="31"/>
      <c r="F47" s="31"/>
      <c r="G47" s="31"/>
      <c r="H47" s="31"/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光模块：销量增速</t>
          </r>
        </is>
      </c>
      <c r="B48" s="12"/>
      <c r="C48" s="12"/>
      <c r="D48" s="30">
        <v>1.05</v>
      </c>
      <c r="E48" s="30">
        <v>0.55</v>
      </c>
      <c r="F48" s="30">
        <v>0.2</v>
      </c>
      <c r="G48" s="30">
        <v>0.1</v>
      </c>
      <c r="H48" s="30">
        <v>0.08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光模块：销量（吨）</t>
          </r>
        </is>
      </c>
      <c r="B49" s="12"/>
      <c r="C49" s="37">
        <v>2109.0</v>
      </c>
      <c r="D49" s="38">
        <f>C49*(1+D48)</f>
        <v>4323.45</v>
      </c>
      <c r="E49" s="38">
        <f>D49*(1+E48)</f>
        <v>6701.3475</v>
      </c>
      <c r="F49" s="38">
        <f>E49*(1+F48)</f>
        <v>8041.616999999999</v>
      </c>
      <c r="G49" s="38">
        <f>F49*(1+G48)</f>
        <v>8845.7787</v>
      </c>
      <c r="H49" s="38">
        <f>G49*(1+H48)</f>
        <v>9553.440996000001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光模块：吨价增速</t>
          </r>
        </is>
      </c>
      <c r="B50" s="12"/>
      <c r="C50" s="12"/>
      <c r="D50" s="30">
        <v>0.22</v>
      </c>
      <c r="E50" s="30">
        <v>0.18</v>
      </c>
      <c r="F50" s="30">
        <v>0.03</v>
      </c>
      <c r="G50" s="30">
        <v>-0.02</v>
      </c>
      <c r="H50" s="30">
        <v>-0.02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光模块：吨价（万元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51" s="12"/>
      <c r="C51" s="16">
        <f>C52*100/C49</f>
        <v>1776.0321833048838</v>
      </c>
      <c r="D51" s="16">
        <f>C51*(1+D50)</f>
        <v>2166.759263631958</v>
      </c>
      <c r="E51" s="16">
        <f>D51*(1+E50)</f>
        <v>2556.7759310857105</v>
      </c>
      <c r="F51" s="16">
        <f>E51*(1+F50)</f>
        <v>2633.479209018282</v>
      </c>
      <c r="G51" s="16">
        <f>F51*(1+G50)</f>
        <v>2580.809624837916</v>
      </c>
      <c r="H51" s="16">
        <f>G51*(1+H50)</f>
        <v>2529.193432341158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光模块：收入</t>
          </r>
        </is>
      </c>
      <c r="B52" s="19"/>
      <c r="C52" s="20">
        <v>37456.5187459</v>
      </c>
      <c r="D52" s="24">
        <f>D49*D51/100</f>
        <v>93678.7533834959</v>
      </c>
      <c r="E52" s="24">
        <f>E49*E51/100</f>
        <v>171338.439938414</v>
      </c>
      <c r="F52" s="24">
        <f>F49*F51/100</f>
        <v>211774.31176387967</v>
      </c>
      <c r="G52" s="24">
        <f>G49*G51/100</f>
        <v>228292.7080814623</v>
      </c>
      <c r="H52" s="24">
        <f>H49*H51/100</f>
        <v>241625.0022334197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光模块：毛利率变动（百分点）</t>
          </r>
        </is>
      </c>
      <c r="B53" s="12"/>
      <c r="C53" s="12"/>
      <c r="D53" s="39">
        <v>5.0</v>
      </c>
      <c r="E53" s="39">
        <v>0.0</v>
      </c>
      <c r="F53" s="39">
        <v>-0.5</v>
      </c>
      <c r="G53" s="39">
        <v>-0.5</v>
      </c>
      <c r="H53" s="39">
        <v>-0.5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光模块：毛利率</t>
          </r>
        </is>
      </c>
      <c r="B54" s="12"/>
      <c r="C54" s="14">
        <f>1-C55/C52</f>
        <v>0.4260645926294703</v>
      </c>
      <c r="D54" s="14">
        <f>C54+D53/100</f>
        <v>0.47606459262947026</v>
      </c>
      <c r="E54" s="14">
        <f>D54+E53/100</f>
        <v>0.47606459262947026</v>
      </c>
      <c r="F54" s="14">
        <f>E54+F53/100</f>
        <v>0.47106459262947026</v>
      </c>
      <c r="G54" s="14">
        <f>F54+G53/100</f>
        <v>0.46606459262947025</v>
      </c>
      <c r="H54" s="14">
        <f>G54+H53/100</f>
        <v>0.46106459262947025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光模块：营业成本</t>
          </r>
        </is>
      </c>
      <c r="B55" s="12"/>
      <c r="C55" s="22">
        <v>21497.62234511</v>
      </c>
      <c r="D55" s="15">
        <f>D52*(1-D54)</f>
        <v>49081.61581594532</v>
      </c>
      <c r="E55" s="15">
        <f>E52*(1-E54)</f>
        <v>89770.27532736398</v>
      </c>
      <c r="F55" s="15">
        <f>F52*(1-F54)</f>
        <v>112014.93186344125</v>
      </c>
      <c r="G55" s="15">
        <f>G52*(1-G54)</f>
        <v>121893.56008919701</v>
      </c>
      <c r="H55" s="15">
        <f>H52*(1-H54)</f>
        <v>130220.2690095732</v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56" s="12"/>
      <c r="C56" s="22">
        <v>783.4168947699945</v>
      </c>
      <c r="D56" s="15">
        <f>C56</f>
        <v>783.4168947699945</v>
      </c>
      <c r="E56" s="15">
        <f>D56</f>
        <v>783.4168947699945</v>
      </c>
      <c r="F56" s="15">
        <f>E56</f>
        <v>783.4168947699945</v>
      </c>
      <c r="G56" s="15">
        <f>F56</f>
        <v>783.4168947699945</v>
      </c>
      <c r="H56" s="15">
        <f>G56</f>
        <v>783.4168947699945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57" s="12"/>
      <c r="C57" s="22">
        <v>667.914781659998</v>
      </c>
      <c r="D57" s="15">
        <f>C57</f>
        <v>667.914781659998</v>
      </c>
      <c r="E57" s="15">
        <f>D57</f>
        <v>667.914781659998</v>
      </c>
      <c r="F57" s="15">
        <f>E57</f>
        <v>667.914781659998</v>
      </c>
      <c r="G57" s="15">
        <f>F57</f>
        <v>667.914781659998</v>
      </c>
      <c r="H57" s="15">
        <f>G57</f>
        <v>667.914781659998</v>
      </c>
    </row>
    <row r="58" ht="20" customHeight="1">
      <c r="A58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8" s="19"/>
      <c r="C58" s="24">
        <f>C52+C56</f>
        <v>38239.935640669995</v>
      </c>
      <c r="D58" s="24">
        <f>D52+D56</f>
        <v>94462.1702782659</v>
      </c>
      <c r="E58" s="24">
        <f>E52+E56</f>
        <v>172121.856833184</v>
      </c>
      <c r="F58" s="24">
        <f>F52+F56</f>
        <v>212557.72865864966</v>
      </c>
      <c r="G58" s="24">
        <f>G52+G56</f>
        <v>229076.1249762323</v>
      </c>
      <c r="H58" s="24">
        <f>H52+H56</f>
        <v>242408.4191281897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59" s="12"/>
      <c r="C59" s="12"/>
      <c r="D59" s="14">
        <f>D58/C58-1</f>
        <v>1.4702491961780626</v>
      </c>
      <c r="E59" s="14">
        <f>E58/D58-1</f>
        <v>0.8221247333842618</v>
      </c>
      <c r="F59" s="14">
        <f>F58/E58-1</f>
        <v>0.23492584015436835</v>
      </c>
      <c r="G59" s="14">
        <f>G58/F58-1</f>
        <v>0.07771251801485812</v>
      </c>
      <c r="H59" s="14">
        <f>H58/G58-1</f>
        <v>0.05820027797894989</v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0" s="12"/>
      <c r="C60" s="15">
        <f>C55+C57</f>
        <v>22165.53712677</v>
      </c>
      <c r="D60" s="15">
        <f>D55+D57</f>
        <v>49749.53059760532</v>
      </c>
      <c r="E60" s="15">
        <f>E55+E57</f>
        <v>90438.19010902398</v>
      </c>
      <c r="F60" s="15">
        <f>F55+F57</f>
        <v>112682.84664510125</v>
      </c>
      <c r="G60" s="15">
        <f>G55+G57</f>
        <v>122561.474870857</v>
      </c>
      <c r="H60" s="15">
        <f>H55+H57</f>
        <v>130888.1837912332</v>
      </c>
    </row>
    <row r="61" ht="20" customHeight="1">
      <c r="A61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61" s="19"/>
      <c r="C61" s="40">
        <f>1-C60/C58</f>
        <v>0.42035631714829835</v>
      </c>
      <c r="D61" s="40">
        <f>1-D60/D58</f>
        <v>0.4733391107672674</v>
      </c>
      <c r="E61" s="40">
        <f>1-E60/E58</f>
        <v>0.4745688213399051</v>
      </c>
      <c r="F61" s="40">
        <f>1-F60/F58</f>
        <v>0.4698717973879901</v>
      </c>
      <c r="G61" s="40">
        <f>1-G60/G58</f>
        <v>0.4649749078670974</v>
      </c>
      <c r="H61" s="40">
        <f>1-H60/H58</f>
        <v>0.4600509987979531</v>
      </c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62" s="12"/>
      <c r="C62" s="28">
        <v>0.0020298516380724747</v>
      </c>
      <c r="D62" s="28">
        <v>0.0020298516380724747</v>
      </c>
      <c r="E62" s="28">
        <v>0.0020298516380724747</v>
      </c>
      <c r="F62" s="28">
        <v>0.0020298516380724747</v>
      </c>
      <c r="G62" s="28">
        <v>0.0020298516380724747</v>
      </c>
      <c r="H62" s="28">
        <v>0.0020298516380724747</v>
      </c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63" s="12"/>
      <c r="C63" s="28">
        <v>0.0059146323920444025</v>
      </c>
      <c r="D63" s="28">
        <v>0.0059146323920444025</v>
      </c>
      <c r="E63" s="28">
        <v>0.0059146323920444025</v>
      </c>
      <c r="F63" s="28">
        <v>0.0059146323920444025</v>
      </c>
      <c r="G63" s="28">
        <v>0.0059146323920444025</v>
      </c>
      <c r="H63" s="28">
        <v>0.0059146323920444025</v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64" s="12"/>
      <c r="C64" s="28">
        <v>0.019897380360148244</v>
      </c>
      <c r="D64" s="28">
        <v>0.019897380360148244</v>
      </c>
      <c r="E64" s="28">
        <v>0.019897380360148244</v>
      </c>
      <c r="F64" s="28">
        <v>0.019897380360148244</v>
      </c>
      <c r="G64" s="28">
        <v>0.019897380360148244</v>
      </c>
      <c r="H64" s="28">
        <v>0.019897380360148244</v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65" s="12"/>
      <c r="C65" s="28">
        <v>0.04224070261410354</v>
      </c>
      <c r="D65" s="28">
        <v>0.03</v>
      </c>
      <c r="E65" s="28">
        <v>0.03</v>
      </c>
      <c r="F65" s="28">
        <v>0.03</v>
      </c>
      <c r="G65" s="28">
        <v>0.03</v>
      </c>
      <c r="H65" s="28">
        <v>0.03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66" s="12"/>
      <c r="C66" s="28">
        <v>-0.02148776765581417</v>
      </c>
      <c r="D66" s="28">
        <v>-0.02148776765581417</v>
      </c>
      <c r="E66" s="28">
        <v>-0.02148776765581417</v>
      </c>
      <c r="F66" s="28">
        <v>-0.02148776765581417</v>
      </c>
      <c r="G66" s="28">
        <v>-0.02148776765581417</v>
      </c>
      <c r="H66" s="28">
        <v>-0.02148776765581417</v>
      </c>
    </row>
    <row r="67" ht="20" customHeight="1">
      <c r="A67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67" s="19"/>
      <c r="C67" s="29">
        <f>SUM(C62:C66)</f>
        <v>0.048594799348554485</v>
      </c>
      <c r="D67" s="29">
        <f>SUM(D62:D66)</f>
        <v>0.03635409673445095</v>
      </c>
      <c r="E67" s="29">
        <f>SUM(E62:E66)</f>
        <v>0.03635409673445095</v>
      </c>
      <c r="F67" s="29">
        <f>SUM(F62:F66)</f>
        <v>0.03635409673445095</v>
      </c>
      <c r="G67" s="29">
        <f>SUM(G62:G66)</f>
        <v>0.03635409673445095</v>
      </c>
      <c r="H67" s="29">
        <f>SUM(H62:H66)</f>
        <v>0.03635409673445095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41">
        <v>2</v>
      </c>
      <c r="C5" s="42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43">
        <f>'分部预测'!D38</f>
        <v>1.1587640233701855</v>
      </c>
      <c r="E7" s="43">
        <f>'分部预测'!E38</f>
        <v>-0.07924079231482961</v>
      </c>
      <c r="F7" s="43">
        <f>'分部预测'!F38</f>
        <v>-0.09649508540498042</v>
      </c>
      <c r="G7" s="43">
        <f>'分部预测'!G38</f>
        <v>-0.000889733166280049</v>
      </c>
      <c r="H7" s="43">
        <f>'分部预测'!H38</f>
        <v>-0.0008897240234030379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43">
        <f>'分部预测'!D17</f>
        <v>1.3125475835300486</v>
      </c>
      <c r="E8" s="43">
        <f>'分部预测'!E17</f>
        <v>0.5074641878110615</v>
      </c>
      <c r="F8" s="43">
        <f>'分部预测'!F17</f>
        <v>0.1491184857073402</v>
      </c>
      <c r="G8" s="43">
        <f>'分部预测'!G17</f>
        <v>0.04735656655745246</v>
      </c>
      <c r="H8" s="43">
        <f>'分部预测'!H17</f>
        <v>0.02806230193530035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43">
        <f>'分部预测'!D59</f>
        <v>1.4702491961780626</v>
      </c>
      <c r="E9" s="43">
        <f>'分部预测'!E59</f>
        <v>0.8221247333842618</v>
      </c>
      <c r="F9" s="43">
        <f>'分部预测'!F59</f>
        <v>0.23492584015436835</v>
      </c>
      <c r="G9" s="43">
        <f>'分部预测'!G59</f>
        <v>0.07771251801485812</v>
      </c>
      <c r="H9" s="43">
        <f>'分部预测'!H59</f>
        <v>0.05820027797894989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40">
        <f>'三表-利润表'!C5/'三表-利润表'!B5-1</f>
        <v>0.6025345593165545</v>
      </c>
      <c r="D10" s="40">
        <f>CHOOSE($B$5,D7,D8,D9)</f>
        <v>1.3125475835300486</v>
      </c>
      <c r="E10" s="40">
        <f>CHOOSE($B$5,E7,E8,E9)</f>
        <v>0.5074641878110615</v>
      </c>
      <c r="F10" s="40">
        <f>CHOOSE($B$5,F7,F8,F9)</f>
        <v>0.1491184857073402</v>
      </c>
      <c r="G10" s="40">
        <f>CHOOSE($B$5,G7,G8,G9)</f>
        <v>0.04735656655745246</v>
      </c>
      <c r="H10" s="40">
        <f>CHOOSE($B$5,H7,H8,H9)</f>
        <v>0.02806230193530035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43">
        <f>'分部预测'!D40</f>
        <v>0.4531356565569763</v>
      </c>
      <c r="E11" s="43">
        <f>'分部预测'!E40</f>
        <v>0.43308972783491917</v>
      </c>
      <c r="F11" s="43">
        <f>'分部预测'!F40</f>
        <v>0.4228860857009865</v>
      </c>
      <c r="G11" s="43">
        <f>'分部预测'!G40</f>
        <v>0.41794034391839907</v>
      </c>
      <c r="H11" s="43">
        <f>'分部预测'!H40</f>
        <v>0.4129947013212256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43">
        <f>'分部预测'!D19</f>
        <v>0.46324183964217236</v>
      </c>
      <c r="E12" s="43">
        <f>'分部预测'!E19</f>
        <v>0.45922145899561284</v>
      </c>
      <c r="F12" s="43">
        <f>'分部预测'!F19</f>
        <v>0.44951177972415135</v>
      </c>
      <c r="G12" s="43">
        <f>'分部预测'!G19</f>
        <v>0.4396308197638187</v>
      </c>
      <c r="H12" s="43">
        <f>'分部预测'!H19</f>
        <v>0.4346937045884246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43">
        <f>'分部预测'!D61</f>
        <v>0.4733391107672674</v>
      </c>
      <c r="E13" s="43">
        <f>'分部预测'!E61</f>
        <v>0.4745688213399051</v>
      </c>
      <c r="F13" s="43">
        <f>'分部预测'!F61</f>
        <v>0.4698717973879901</v>
      </c>
      <c r="G13" s="43">
        <f>'分部预测'!G61</f>
        <v>0.4649749078670974</v>
      </c>
      <c r="H13" s="43">
        <f>'分部预测'!H61</f>
        <v>0.4600509987979531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40">
        <f>1-'三表-利润表'!B6/'三表-利润表'!B5</f>
        <v>0.3380495823657168</v>
      </c>
      <c r="C14" s="40">
        <f>1-'三表-利润表'!C6/'三表-利润表'!C5</f>
        <v>0.42035631714829835</v>
      </c>
      <c r="D14" s="40">
        <f>CHOOSE($B$5,D11,D12,D13)</f>
        <v>0.46324183964217236</v>
      </c>
      <c r="E14" s="40">
        <f>CHOOSE($B$5,E11,E12,E13)</f>
        <v>0.45922145899561284</v>
      </c>
      <c r="F14" s="40">
        <f>CHOOSE($B$5,F11,F12,F13)</f>
        <v>0.44951177972415135</v>
      </c>
      <c r="G14" s="40">
        <f>CHOOSE($B$5,G11,G12,G13)</f>
        <v>0.4396308197638187</v>
      </c>
      <c r="H14" s="40">
        <f>CHOOSE($B$5,H11,H12,H13)</f>
        <v>0.4346937045884246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经营费用率（不含折旧摊销，含税金及附加）：悲观</t>
          </r>
        </is>
      </c>
      <c r="B15" s="12"/>
      <c r="C15" s="12"/>
      <c r="D15" s="43">
        <f>'分部预测'!D46</f>
        <v>0.04135409673445095</v>
      </c>
      <c r="E15" s="43">
        <f>'分部预测'!E46</f>
        <v>0.04135409673445095</v>
      </c>
      <c r="F15" s="43">
        <f>'分部预测'!F46</f>
        <v>0.04135409673445095</v>
      </c>
      <c r="G15" s="43">
        <f>'分部预测'!G46</f>
        <v>0.04135409673445095</v>
      </c>
      <c r="H15" s="43">
        <f>'分部预测'!H46</f>
        <v>0.04135409673445095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经营费用率（不含折旧摊销，含税金及附加）：基准</t>
          </r>
        </is>
      </c>
      <c r="B16" s="12"/>
      <c r="C16" s="12"/>
      <c r="D16" s="43">
        <f>'分部预测'!D25</f>
        <v>0.03635409673445095</v>
      </c>
      <c r="E16" s="43">
        <f>'分部预测'!E25</f>
        <v>0.03635409673445095</v>
      </c>
      <c r="F16" s="43">
        <f>'分部预测'!F25</f>
        <v>0.03635409673445095</v>
      </c>
      <c r="G16" s="43">
        <f>'分部预测'!G25</f>
        <v>0.03635409673445095</v>
      </c>
      <c r="H16" s="43">
        <f>'分部预测'!H25</f>
        <v>0.03635409673445095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经营费用率（不含折旧摊销，含税金及附加）：乐观</t>
          </r>
        </is>
      </c>
      <c r="B17" s="12"/>
      <c r="C17" s="12"/>
      <c r="D17" s="43">
        <f>'分部预测'!D67</f>
        <v>0.03635409673445095</v>
      </c>
      <c r="E17" s="43">
        <f>'分部预测'!E67</f>
        <v>0.03635409673445095</v>
      </c>
      <c r="F17" s="43">
        <f>'分部预测'!F67</f>
        <v>0.03635409673445095</v>
      </c>
      <c r="G17" s="43">
        <f>'分部预测'!G67</f>
        <v>0.03635409673445095</v>
      </c>
      <c r="H17" s="43">
        <f>'分部预测'!H67</f>
        <v>0.03635409673445095</v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经营费用率（不含折旧摊销，含税金及附加）（选用）</t>
          </r>
        </is>
      </c>
      <c r="B18" s="40">
        <f>'三表-利润表'!B8/'三表-利润表'!B5</f>
        <v>0.0649302897792032</v>
      </c>
      <c r="C18" s="40">
        <f>'三表-利润表'!C8/'三表-利润表'!C5</f>
        <v>0.048594799348554485</v>
      </c>
      <c r="D18" s="40">
        <f>CHOOSE($B$5,D15,D16,D17)</f>
        <v>0.03635409673445095</v>
      </c>
      <c r="E18" s="40">
        <f>CHOOSE($B$5,E15,E16,E17)</f>
        <v>0.03635409673445095</v>
      </c>
      <c r="F18" s="40">
        <f>CHOOSE($B$5,F15,F16,F17)</f>
        <v>0.03635409673445095</v>
      </c>
      <c r="G18" s="40">
        <f>CHOOSE($B$5,G15,G16,G17)</f>
        <v>0.03635409673445095</v>
      </c>
      <c r="H18" s="40">
        <f>CHOOSE($B$5,H15,H16,H17)</f>
        <v>0.03635409673445095</v>
      </c>
      <c r="I18" s="2"/>
      <c r="J18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9" s="14">
        <f>'三表-利润表'!B16/'三表-利润表'!B15</f>
        <v>0.11246084583495261</v>
      </c>
      <c r="C19" s="14">
        <f>'三表-利润表'!C16/'三表-利润表'!C15</f>
        <v>0.1485239399662781</v>
      </c>
      <c r="D19" s="30">
        <v>0.1485239399662781</v>
      </c>
      <c r="E19" s="30">
        <v>0.1485239399662781</v>
      </c>
      <c r="F19" s="30">
        <v>0.1485239399662781</v>
      </c>
      <c r="G19" s="30">
        <v>0.1485239399662781</v>
      </c>
      <c r="H19" s="30">
        <v>0.1485239399662781</v>
      </c>
      <c r="I19" s="2"/>
      <c r="J19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20" s="12"/>
      <c r="C20" s="12"/>
      <c r="D20" s="30">
        <v>0.15</v>
      </c>
      <c r="E20" s="30">
        <v>0.15</v>
      </c>
      <c r="F20" s="30">
        <v>0.15</v>
      </c>
      <c r="G20" s="30">
        <v>0.15</v>
      </c>
      <c r="H20" s="30">
        <v>0.15</v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21" s="31"/>
      <c r="C21" s="31"/>
      <c r="D21" s="31"/>
      <c r="E21" s="31"/>
      <c r="F21" s="31"/>
      <c r="G21" s="31"/>
      <c r="H21" s="31"/>
      <c r="I21" s="31"/>
      <c r="J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22" s="12"/>
      <c r="C22" s="12"/>
      <c r="D22" s="25">
        <v>74.91275115062952</v>
      </c>
      <c r="E22" s="25">
        <v>74.91275115062952</v>
      </c>
      <c r="F22" s="25">
        <v>74.91275115062952</v>
      </c>
      <c r="G22" s="25">
        <v>74.91275115062952</v>
      </c>
      <c r="H22" s="25">
        <v>74.91275115062952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3" s="12"/>
      <c r="C23" s="12"/>
      <c r="D23" s="25">
        <v>59.91275115062952</v>
      </c>
      <c r="E23" s="25">
        <v>59.91275115062952</v>
      </c>
      <c r="F23" s="25">
        <v>59.91275115062952</v>
      </c>
      <c r="G23" s="25">
        <v>59.91275115062952</v>
      </c>
      <c r="H23" s="25">
        <v>59.91275115062952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4" s="12"/>
      <c r="C24" s="12"/>
      <c r="D24" s="25">
        <v>59.91275115062952</v>
      </c>
      <c r="E24" s="25">
        <v>59.91275115062952</v>
      </c>
      <c r="F24" s="25">
        <v>59.91275115062952</v>
      </c>
      <c r="G24" s="25">
        <v>59.91275115062952</v>
      </c>
      <c r="H24" s="25">
        <v>59.91275115062952</v>
      </c>
    </row>
    <row r="25" ht="20" customHeight="1">
      <c r="A25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5" s="44">
        <f>'三表-资产负债表'!B7/'三表-利润表'!B5*365</f>
        <v>70.4168521701393</v>
      </c>
      <c r="C25" s="44">
        <f>'三表-资产负债表'!C7/'三表-利润表'!C5*365</f>
        <v>59.91275115062952</v>
      </c>
      <c r="D25" s="44">
        <f>CHOOSE($B$5,D22,D23,D24)</f>
        <v>59.91275115062952</v>
      </c>
      <c r="E25" s="44">
        <f>CHOOSE($B$5,E22,E23,E24)</f>
        <v>59.91275115062952</v>
      </c>
      <c r="F25" s="44">
        <f>CHOOSE($B$5,F22,F23,F24)</f>
        <v>59.91275115062952</v>
      </c>
      <c r="G25" s="44">
        <f>CHOOSE($B$5,G22,G23,G24)</f>
        <v>59.91275115062952</v>
      </c>
      <c r="H25" s="44">
        <f>CHOOSE($B$5,H22,H23,H24)</f>
        <v>59.91275115062952</v>
      </c>
      <c r="I25" s="2"/>
      <c r="J25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6" s="15">
        <f>'三表-资产负债表'!B8/'三表-利润表'!B6*365</f>
        <v>162.94014284528785</v>
      </c>
      <c r="C26" s="15">
        <f>'三表-资产负债表'!C8/'三表-利润表'!C6*365</f>
        <v>208.8132697410824</v>
      </c>
      <c r="D26" s="22">
        <v>208.8132697410824</v>
      </c>
      <c r="E26" s="22">
        <v>208.8132697410824</v>
      </c>
      <c r="F26" s="22">
        <v>208.8132697410824</v>
      </c>
      <c r="G26" s="22">
        <v>208.8132697410824</v>
      </c>
      <c r="H26" s="22">
        <v>208.8132697410824</v>
      </c>
      <c r="I26" s="2"/>
      <c r="J26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7" s="15">
        <f>'三表-资产负债表'!B13/'三表-利润表'!B6*365</f>
        <v>69.11274657043109</v>
      </c>
      <c r="C27" s="15">
        <f>'三表-资产负债表'!C13/'三表-利润表'!C6*365</f>
        <v>120.70033192543539</v>
      </c>
      <c r="D27" s="22">
        <v>120.70033192543539</v>
      </c>
      <c r="E27" s="22">
        <v>120.70033192543539</v>
      </c>
      <c r="F27" s="22">
        <v>120.70033192543539</v>
      </c>
      <c r="G27" s="22">
        <v>120.70033192543539</v>
      </c>
      <c r="H27" s="22">
        <v>120.70033192543539</v>
      </c>
      <c r="I27" s="2"/>
      <c r="J27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8" ht="20" customHeight="1">
      <c r="A28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8" s="31"/>
      <c r="C28" s="31"/>
      <c r="D28" s="31"/>
      <c r="E28" s="31"/>
      <c r="F28" s="31"/>
      <c r="G28" s="31"/>
      <c r="H28" s="31"/>
      <c r="I28" s="31"/>
      <c r="J28" s="31"/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9" s="12"/>
      <c r="C29" s="12"/>
      <c r="D29" s="30">
        <v>0.06</v>
      </c>
      <c r="E29" s="30">
        <v>0.06</v>
      </c>
      <c r="F29" s="30">
        <v>0.05</v>
      </c>
      <c r="G29" s="30">
        <v>0.05</v>
      </c>
      <c r="H29" s="30">
        <v>0.045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30" s="12"/>
      <c r="C30" s="12"/>
      <c r="D30" s="30">
        <v>0.06</v>
      </c>
      <c r="E30" s="30">
        <v>0.06</v>
      </c>
      <c r="F30" s="30">
        <v>0.05</v>
      </c>
      <c r="G30" s="30">
        <v>0.05</v>
      </c>
      <c r="H30" s="30">
        <v>0.045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31" s="12"/>
      <c r="C31" s="12"/>
      <c r="D31" s="30">
        <v>0.06</v>
      </c>
      <c r="E31" s="30">
        <v>0.055</v>
      </c>
      <c r="F31" s="30">
        <v>0.05</v>
      </c>
      <c r="G31" s="30">
        <v>0.045</v>
      </c>
      <c r="H31" s="30">
        <v>0.04</v>
      </c>
    </row>
    <row r="32" ht="20" customHeight="1">
      <c r="A32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32" s="40">
        <f>-'三表-现金流量表'!B12/'三表-利润表'!B5</f>
        <v>0.12011307247060549</v>
      </c>
      <c r="C32" s="40">
        <f>-'三表-现金流量表'!C12/'三表-利润表'!C5</f>
        <v>0.0721757149866804</v>
      </c>
      <c r="D32" s="40">
        <f>CHOOSE($B$5,D29,D30,D31)</f>
        <v>0.06</v>
      </c>
      <c r="E32" s="40">
        <f>CHOOSE($B$5,E29,E30,E31)</f>
        <v>0.06</v>
      </c>
      <c r="F32" s="40">
        <f>CHOOSE($B$5,F29,F30,F31)</f>
        <v>0.05</v>
      </c>
      <c r="G32" s="40">
        <f>CHOOSE($B$5,G29,G30,G31)</f>
        <v>0.05</v>
      </c>
      <c r="H32" s="40">
        <f>CHOOSE($B$5,H29,H30,H31)</f>
        <v>0.045</v>
      </c>
      <c r="I32" s="2"/>
      <c r="J3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3" s="12"/>
      <c r="C33" s="14">
        <f>'三表-利润表'!C10/('三表-资产负债表'!B9-0.5*'三表-现金流量表'!C12)</f>
        <v>0.1139242328806607</v>
      </c>
      <c r="D33" s="30">
        <v>0.1139242328806607</v>
      </c>
      <c r="E33" s="30">
        <v>0.1139242328806607</v>
      </c>
      <c r="F33" s="30">
        <v>0.1139242328806607</v>
      </c>
      <c r="G33" s="30">
        <v>0.1139242328806607</v>
      </c>
      <c r="H33" s="30">
        <v>0.1139242328806607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4" s="12"/>
      <c r="C34" s="14">
        <f>'三表-利润表'!C12/AVERAGE('三表-资产负债表'!B14,'三表-资产负债表'!C14)</f>
        <v>0.08366282841052819</v>
      </c>
      <c r="D34" s="30">
        <v>0.08366282841052819</v>
      </c>
      <c r="E34" s="30">
        <v>0.08366282841052819</v>
      </c>
      <c r="F34" s="30">
        <v>0.08366282841052819</v>
      </c>
      <c r="G34" s="30">
        <v>0.08366282841052819</v>
      </c>
      <c r="H34" s="30">
        <v>0.08366282841052819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5" s="12"/>
      <c r="C35" s="12"/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6" s="31"/>
      <c r="C36" s="31"/>
      <c r="D36" s="31"/>
      <c r="E36" s="31"/>
      <c r="F36" s="31"/>
      <c r="G36" s="31"/>
      <c r="H36" s="31"/>
      <c r="I36" s="31"/>
      <c r="J36" s="31"/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7" s="12"/>
      <c r="C37" s="12"/>
      <c r="D37" s="28">
        <v>0.02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8" s="12"/>
      <c r="C38" s="12"/>
      <c r="D38" s="28">
        <v>0.03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9" s="12"/>
      <c r="C39" s="12"/>
      <c r="D39" s="28">
        <v>0.035</v>
      </c>
    </row>
    <row r="40" ht="20" customHeight="1">
      <c r="A40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40" s="19"/>
      <c r="C40" s="19"/>
      <c r="D40" s="29">
        <f>CHOOSE($B$5,D37,D38,D39)</f>
        <v>0.03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41" s="12"/>
      <c r="C41" s="12"/>
      <c r="D41" s="28">
        <v>0.01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42" s="12"/>
      <c r="C42" s="12"/>
      <c r="D42" s="28">
        <v>0.0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3" s="12"/>
      <c r="C43" s="12"/>
      <c r="D43" s="28">
        <v>-0.005</v>
      </c>
    </row>
    <row r="44" ht="20" customHeight="1">
      <c r="A44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4" s="19"/>
      <c r="C44" s="19"/>
      <c r="D44" s="29">
        <f>CHOOSE($B$5,D41,D42,D43)</f>
        <v>0.0</v>
      </c>
    </row>
    <row r="45" ht="20" customHeight="1">
      <c r="A45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5" s="31"/>
      <c r="C45" s="31"/>
      <c r="D45" s="31"/>
      <c r="E45" s="31"/>
      <c r="F45" s="31"/>
      <c r="G45" s="31"/>
      <c r="H45" s="31"/>
      <c r="I45" s="31"/>
      <c r="J45" s="31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6" s="23">
        <f>'三表-资产负债表'!B7</f>
        <v>4603.55664317</v>
      </c>
      <c r="C46" s="23">
        <f>'三表-资产负债表'!C7</f>
        <v>6276.87602207</v>
      </c>
      <c r="D46" s="15">
        <f>'三表-利润表'!D5*D25/365</f>
        <v>14515.574476955682</v>
      </c>
      <c r="E46" s="15">
        <f>'三表-利润表'!E5*E25/365</f>
        <v>21881.708689514973</v>
      </c>
      <c r="F46" s="15">
        <f>'三表-利润表'!F5*F25/365</f>
        <v>25144.67595398459</v>
      </c>
      <c r="G46" s="15">
        <f>'三表-利润表'!G5*G25/365</f>
        <v>26335.44147436504</v>
      </c>
      <c r="H46" s="15">
        <f>'三表-利润表'!H5*H25/365</f>
        <v>27074.474584618103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7" s="23">
        <f>'三表-资产负债表'!B8</f>
        <v>7051.32021604</v>
      </c>
      <c r="C47" s="23">
        <f>'三表-资产负债表'!C8</f>
        <v>12680.70762468</v>
      </c>
      <c r="D47" s="15">
        <f>'三表-利润表'!D6*D26/365</f>
        <v>27155.119326258537</v>
      </c>
      <c r="E47" s="15">
        <f>'三表-利润表'!E6*E26/365</f>
        <v>41241.980550938744</v>
      </c>
      <c r="F47" s="15">
        <f>'三表-利润表'!F6*F26/365</f>
        <v>48242.844251808034</v>
      </c>
      <c r="G47" s="15">
        <f>'三表-利润表'!G6*G26/365</f>
        <v>51434.399752615696</v>
      </c>
      <c r="H47" s="15">
        <f>'三表-利润表'!H6*H26/365</f>
        <v>53343.645327963546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8" s="23">
        <f>'三表-资产负债表'!B13</f>
        <v>2990.8903881399997</v>
      </c>
      <c r="C48" s="23">
        <f>'三表-资产负债表'!C13</f>
        <v>7329.82928358</v>
      </c>
      <c r="D48" s="15">
        <f>'三表-利润表'!D6*D27/365</f>
        <v>15696.473314259694</v>
      </c>
      <c r="E48" s="15">
        <f>'三表-利润表'!E6*E27/365</f>
        <v>23839.101547200622</v>
      </c>
      <c r="F48" s="15">
        <f>'三表-利润表'!F6*F27/365</f>
        <v>27885.810712319384</v>
      </c>
      <c r="G48" s="15">
        <f>'三表-利润表'!G6*G27/365</f>
        <v>29730.625502028815</v>
      </c>
      <c r="H48" s="15">
        <f>'三表-利润表'!H6*H27/365</f>
        <v>30834.226700158597</v>
      </c>
    </row>
    <row r="49" ht="20" customHeight="1">
      <c r="A49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9" s="24">
        <f>B46+B47-B48</f>
        <v>8663.986471069999</v>
      </c>
      <c r="C49" s="24">
        <f>C46+C47-C48</f>
        <v>11627.754363170001</v>
      </c>
      <c r="D49" s="24">
        <f>D46+D47-D48</f>
        <v>25974.220488954525</v>
      </c>
      <c r="E49" s="24">
        <f>E46+E47-E48</f>
        <v>39284.587693253095</v>
      </c>
      <c r="F49" s="24">
        <f>F46+F47-F48</f>
        <v>45501.70949347324</v>
      </c>
      <c r="G49" s="24">
        <f>G46+G47-G48</f>
        <v>48039.215724951915</v>
      </c>
      <c r="H49" s="24">
        <f>H46+H47-H48</f>
        <v>49583.89321242305</v>
      </c>
      <c r="I49" s="2"/>
      <c r="J49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50" s="12"/>
      <c r="C50" s="15">
        <f>C49-B49</f>
        <v>2963.7678921000024</v>
      </c>
      <c r="D50" s="15">
        <f>D49-C49</f>
        <v>14346.466125784524</v>
      </c>
      <c r="E50" s="15">
        <f>E49-D49</f>
        <v>13310.36720429857</v>
      </c>
      <c r="F50" s="15">
        <f>F49-E49</f>
        <v>6217.121800220142</v>
      </c>
      <c r="G50" s="15">
        <f>G49-F49</f>
        <v>2537.5062314786774</v>
      </c>
      <c r="H50" s="15">
        <f>H49-G49</f>
        <v>1544.6774874711336</v>
      </c>
    </row>
    <row r="51" ht="20" customHeight="1">
      <c r="A51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51" s="31"/>
      <c r="C51" s="31"/>
      <c r="D51" s="31"/>
      <c r="E51" s="31"/>
      <c r="F51" s="31"/>
      <c r="G51" s="31"/>
      <c r="H51" s="31"/>
      <c r="I51" s="31"/>
      <c r="J51" s="31"/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2" s="12"/>
      <c r="C52" s="12"/>
      <c r="D52" s="23">
        <f>'三表-资产负债表'!C9</f>
        <v>8502.55051166</v>
      </c>
      <c r="E52" s="15">
        <f>D55</f>
        <v>12537.568905089378</v>
      </c>
      <c r="F52" s="15">
        <f>E55</f>
        <v>18652.081687228463</v>
      </c>
      <c r="G52" s="15">
        <f>F55</f>
        <v>23750.177115068785</v>
      </c>
      <c r="H52" s="15">
        <f>G55</f>
        <v>28609.53333705389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3" s="12"/>
      <c r="C53" s="12"/>
      <c r="D53" s="15">
        <f>'三表-利润表'!D5*D32</f>
        <v>5305.900245610559</v>
      </c>
      <c r="E53" s="15">
        <f>'三表-利润表'!E5*E32</f>
        <v>7998.454604355833</v>
      </c>
      <c r="F53" s="15">
        <f>'三表-利润表'!F5*F32</f>
        <v>7659.310035796899</v>
      </c>
      <c r="G53" s="15">
        <f>'三表-利润表'!G5*G32</f>
        <v>8022.028661291279</v>
      </c>
      <c r="H53" s="15">
        <f>'三表-利润表'!H5*H32</f>
        <v>7422.43072654626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4" s="12"/>
      <c r="C54" s="12"/>
      <c r="D54" s="15">
        <f>(D52+0.5*D53)*D33</f>
        <v>1270.8818521811806</v>
      </c>
      <c r="E54" s="15">
        <f>(E52+0.5*E53)*E33</f>
        <v>1883.941822216746</v>
      </c>
      <c r="F54" s="15">
        <f>(F52+0.5*F53)*F33</f>
        <v>2561.214607956576</v>
      </c>
      <c r="G54" s="15">
        <f>(G52+0.5*G53)*G33</f>
        <v>3162.6724393061754</v>
      </c>
      <c r="H54" s="15">
        <f>(H52+0.5*H53)*H33</f>
        <v>3682.116501813367</v>
      </c>
    </row>
    <row r="55" ht="20" customHeight="1">
      <c r="A55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5" s="21">
        <f>'三表-资产负债表'!B9</f>
        <v>5872.418795899999</v>
      </c>
      <c r="C55" s="21">
        <f>'三表-资产负债表'!C9</f>
        <v>8502.55051166</v>
      </c>
      <c r="D55" s="24">
        <f>MAX(0,D52+D53-D54)</f>
        <v>12537.568905089378</v>
      </c>
      <c r="E55" s="24">
        <f>MAX(0,E52+E53-E54)</f>
        <v>18652.081687228463</v>
      </c>
      <c r="F55" s="24">
        <f>MAX(0,F52+F53-F54)</f>
        <v>23750.177115068785</v>
      </c>
      <c r="G55" s="24">
        <f>MAX(0,G52+G53-G54)</f>
        <v>28609.53333705389</v>
      </c>
      <c r="H55" s="24">
        <f>MAX(0,H52+H53-H54)</f>
        <v>32349.84756178678</v>
      </c>
      <c r="I55" s="2"/>
      <c r="J55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6" ht="20" customHeight="1">
      <c r="A56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6" s="31"/>
      <c r="C56" s="31"/>
      <c r="D56" s="31"/>
      <c r="E56" s="31"/>
      <c r="F56" s="31"/>
      <c r="G56" s="31"/>
      <c r="H56" s="31"/>
      <c r="I56" s="31"/>
      <c r="J56" s="31"/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7" s="12"/>
      <c r="C57" s="12"/>
      <c r="D57" s="23">
        <f>'三表-资产负债表'!C14</f>
        <v>1670.32395068</v>
      </c>
      <c r="E57" s="15">
        <f>D59</f>
        <v>1670.32395068</v>
      </c>
      <c r="F57" s="15">
        <f>E59</f>
        <v>1670.32395068</v>
      </c>
      <c r="G57" s="15">
        <f>F59</f>
        <v>1670.32395068</v>
      </c>
      <c r="H57" s="15">
        <f>G59</f>
        <v>1670.32395068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8" s="12"/>
      <c r="C58" s="12"/>
      <c r="D58" s="15">
        <f>MIN(MAX(0,D35),D57)</f>
        <v>0.0</v>
      </c>
      <c r="E58" s="15">
        <f>MIN(MAX(0,E35),E57)</f>
        <v>0.0</v>
      </c>
      <c r="F58" s="15">
        <f>MIN(MAX(0,F35),F57)</f>
        <v>0.0</v>
      </c>
      <c r="G58" s="15">
        <f>MIN(MAX(0,G35),G57)</f>
        <v>0.0</v>
      </c>
      <c r="H58" s="15">
        <f>MIN(MAX(0,H35),H57)</f>
        <v>0.0</v>
      </c>
    </row>
    <row r="59" ht="20" customHeight="1">
      <c r="A59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9" s="21">
        <f>'三表-资产负债表'!B14</f>
        <v>2699.55356441</v>
      </c>
      <c r="C59" s="21">
        <f>'三表-资产负债表'!C14</f>
        <v>1670.32395068</v>
      </c>
      <c r="D59" s="24">
        <f>D57-D58</f>
        <v>1670.32395068</v>
      </c>
      <c r="E59" s="24">
        <f>E57-E58</f>
        <v>1670.32395068</v>
      </c>
      <c r="F59" s="24">
        <f>F57-F58</f>
        <v>1670.32395068</v>
      </c>
      <c r="G59" s="24">
        <f>G57-G58</f>
        <v>1670.32395068</v>
      </c>
      <c r="H59" s="24">
        <f>H57-H58</f>
        <v>1670.32395068</v>
      </c>
      <c r="I59" s="2"/>
      <c r="J59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60" s="12"/>
      <c r="C60" s="12"/>
      <c r="D60" s="15">
        <f>MAX(0,D57-0.5*D58)*D34</f>
        <v>139.7440260757364</v>
      </c>
      <c r="E60" s="15">
        <f>MAX(0,E57-0.5*E58)*E34</f>
        <v>139.7440260757364</v>
      </c>
      <c r="F60" s="15">
        <f>MAX(0,F57-0.5*F58)*F34</f>
        <v>139.7440260757364</v>
      </c>
      <c r="G60" s="15">
        <f>MAX(0,G57-0.5*G58)*G34</f>
        <v>139.7440260757364</v>
      </c>
      <c r="H60" s="15">
        <f>MAX(0,H57-0.5*H58)*H34</f>
        <v>139.7440260757364</v>
      </c>
    </row>
    <row r="61" ht="20" customHeight="1">
      <c r="A61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61" s="31"/>
      <c r="C61" s="31"/>
      <c r="D61" s="31"/>
      <c r="E61" s="31"/>
      <c r="F61" s="31"/>
      <c r="G61" s="31"/>
      <c r="H61" s="31"/>
      <c r="I61" s="31"/>
      <c r="J61" s="31"/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62" s="12"/>
      <c r="C62" s="12"/>
      <c r="D62" s="15">
        <f>MAX(0,'三表-利润表'!D17)*D20</f>
        <v>4641.366685319745</v>
      </c>
      <c r="E62" s="15">
        <f>MAX(0,'三表-利润表'!E17)*E20</f>
        <v>6941.369609336952</v>
      </c>
      <c r="F62" s="15">
        <f>MAX(0,'三表-利润表'!F17)*F20</f>
        <v>7738.524854480041</v>
      </c>
      <c r="G62" s="15">
        <f>MAX(0,'三表-利润表'!G17)*G20</f>
        <v>7842.034757949004</v>
      </c>
      <c r="H62" s="15">
        <f>MAX(0,'三表-利润表'!H17)*H20</f>
        <v>7903.583632876793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23862.15973837</v>
      </c>
      <c r="C5" s="20">
        <v>38239.935640669995</v>
      </c>
      <c r="D5" s="24">
        <f>C5*(1+'三表-假设'!D10)</f>
        <v>88431.67076017598</v>
      </c>
      <c r="E5" s="24">
        <f>D5*(1+'三表-假设'!E10)</f>
        <v>133307.5767392639</v>
      </c>
      <c r="F5" s="24">
        <f>E5*(1+'三表-假设'!F10)</f>
        <v>153186.20071593797</v>
      </c>
      <c r="G5" s="24">
        <f>F5*(1+'三表-假设'!G10)</f>
        <v>160440.57322582556</v>
      </c>
      <c r="H5" s="24">
        <f>G5*(1+'三表-假设'!H10)</f>
        <v>164942.90503436135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15795.56660447</v>
      </c>
      <c r="C6" s="22">
        <v>22165.53712677</v>
      </c>
      <c r="D6" s="15">
        <f>D5*(1-'三表-假设'!D14)</f>
        <v>47466.420914601156</v>
      </c>
      <c r="E6" s="15">
        <f>E5*(1-'三表-假设'!E14)</f>
        <v>72089.87685388951</v>
      </c>
      <c r="F6" s="15">
        <f>F5*(1-'三表-假设'!F14)</f>
        <v>84327.19900293562</v>
      </c>
      <c r="G6" s="15">
        <f>G5*(1-'三表-假设'!G14)</f>
        <v>89905.95249517889</v>
      </c>
      <c r="H6" s="15">
        <f>H5*(1-'三表-假设'!H14)</f>
        <v>93243.2625993981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8066.5931339</v>
      </c>
      <c r="C7" s="24">
        <f>C5-C6</f>
        <v>16074.398513899996</v>
      </c>
      <c r="D7" s="24">
        <f>D5-D6</f>
        <v>40965.24984557483</v>
      </c>
      <c r="E7" s="24">
        <f>E5-E6</f>
        <v>61217.699885374386</v>
      </c>
      <c r="F7" s="24">
        <f>F5-F6</f>
        <v>68859.00171300235</v>
      </c>
      <c r="G7" s="24">
        <f>G5-G6</f>
        <v>70534.62073064667</v>
      </c>
      <c r="H7" s="24">
        <f>H5-H6</f>
        <v>71699.64243496324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1549.3769465699997</v>
      </c>
      <c r="C8" s="22">
        <v>1858.2619995599957</v>
      </c>
      <c r="D8" s="15">
        <f>D5*'三表-假设'!D18</f>
        <v>3214.853513204555</v>
      </c>
      <c r="E8" s="15">
        <f>E5*'三表-假设'!E18</f>
        <v>4846.276540214442</v>
      </c>
      <c r="F8" s="15">
        <f>F5*'三表-假设'!F18</f>
        <v>5568.945959210228</v>
      </c>
      <c r="G8" s="15">
        <f>G5*'三表-假设'!G18</f>
        <v>5832.672119182423</v>
      </c>
      <c r="H8" s="15">
        <f>H5*'三表-假设'!H18</f>
        <v>5996.3503252805285</v>
      </c>
    </row>
    <row r="9" ht="20" customHeight="1">
      <c r="A9" s="19" t="inlineStr">
        <is>
          <t xml:space="preserve">EBITDA</t>
        </is>
      </c>
      <c r="B9" s="24">
        <f>B7-B8</f>
        <v>6517.21618733</v>
      </c>
      <c r="C9" s="24">
        <f>C7-C8</f>
        <v>14216.13651434</v>
      </c>
      <c r="D9" s="24">
        <f>D7-D8</f>
        <v>37750.39633237027</v>
      </c>
      <c r="E9" s="24">
        <f>E7-E8</f>
        <v>56371.42334515994</v>
      </c>
      <c r="F9" s="24">
        <f>F7-F8</f>
        <v>63290.05575379212</v>
      </c>
      <c r="G9" s="24">
        <f>G7-G8</f>
        <v>64701.94861146424</v>
      </c>
      <c r="H9" s="24">
        <f>H7-H8</f>
        <v>65703.29210968272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643.47557951</v>
      </c>
      <c r="C10" s="22">
        <v>826.2259457200001</v>
      </c>
      <c r="D10" s="23">
        <f>'三表-假设'!D54</f>
        <v>1270.8818521811806</v>
      </c>
      <c r="E10" s="23">
        <f>'三表-假设'!E54</f>
        <v>1883.941822216746</v>
      </c>
      <c r="F10" s="23">
        <f>'三表-假设'!F54</f>
        <v>2561.214607956576</v>
      </c>
      <c r="G10" s="23">
        <f>'三表-假设'!G54</f>
        <v>3162.6724393061754</v>
      </c>
      <c r="H10" s="23">
        <f>'三表-假设'!H54</f>
        <v>3682.116501813367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5873.74060782</v>
      </c>
      <c r="C11" s="24">
        <f>C9-C10</f>
        <v>13389.91056862</v>
      </c>
      <c r="D11" s="24">
        <f>D9-D10</f>
        <v>36479.51448018909</v>
      </c>
      <c r="E11" s="24">
        <f>E9-E10</f>
        <v>54487.4815229432</v>
      </c>
      <c r="F11" s="24">
        <f>F9-F10</f>
        <v>60728.84114583554</v>
      </c>
      <c r="G11" s="24">
        <f>G9-G10</f>
        <v>61539.27617215807</v>
      </c>
      <c r="H11" s="24">
        <f>H9-H10</f>
        <v>62021.17560786935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-144.4311519</v>
      </c>
      <c r="C12" s="22">
        <v>182.79815636</v>
      </c>
      <c r="D12" s="23">
        <f>'三表-假设'!D60</f>
        <v>139.7440260757364</v>
      </c>
      <c r="E12" s="23">
        <f>'三表-假设'!E60</f>
        <v>139.7440260757364</v>
      </c>
      <c r="F12" s="23">
        <f>'三表-假设'!F60</f>
        <v>139.7440260757364</v>
      </c>
      <c r="G12" s="23">
        <f>'三表-假设'!G60</f>
        <v>139.7440260757364</v>
      </c>
      <c r="H12" s="23">
        <f>'三表-假设'!H60</f>
        <v>139.7440260757364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6018.17175972</v>
      </c>
      <c r="C13" s="15">
        <f>C11-C12</f>
        <v>13207.11241226</v>
      </c>
      <c r="D13" s="15">
        <f>D11-D12</f>
        <v>36339.77045411336</v>
      </c>
      <c r="E13" s="15">
        <f>E11-E12</f>
        <v>54347.73749686746</v>
      </c>
      <c r="F13" s="15">
        <f>F11-F12</f>
        <v>60589.097119759805</v>
      </c>
      <c r="G13" s="15">
        <f>G11-G12</f>
        <v>61399.53214608233</v>
      </c>
      <c r="H13" s="15">
        <f>H11-H12</f>
        <v>61881.431581793615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34.26560456000001</v>
      </c>
      <c r="C14" s="22">
        <v>392.5114075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6052.43736428</v>
      </c>
      <c r="C15" s="24">
        <f>C13+C14</f>
        <v>13599.62381976</v>
      </c>
      <c r="D15" s="24">
        <f>D13+D14</f>
        <v>36339.77045411336</v>
      </c>
      <c r="E15" s="24">
        <f>E13+E14</f>
        <v>54347.73749686746</v>
      </c>
      <c r="F15" s="24">
        <f>F13+F14</f>
        <v>60589.097119759805</v>
      </c>
      <c r="G15" s="24">
        <f>G13+G14</f>
        <v>61399.53214608233</v>
      </c>
      <c r="H15" s="24">
        <f>H13+H14</f>
        <v>61881.431581793615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680.66222535</v>
      </c>
      <c r="C16" s="22">
        <v>2019.86971177</v>
      </c>
      <c r="D16" s="15">
        <f>MAX(D15,0)*'三表-假设'!D19</f>
        <v>5397.325885315059</v>
      </c>
      <c r="E16" s="15">
        <f>MAX(E15,0)*'三表-假设'!E19</f>
        <v>8071.940101287784</v>
      </c>
      <c r="F16" s="15">
        <f>MAX(F15,0)*'三表-假设'!F19</f>
        <v>8998.931423226199</v>
      </c>
      <c r="G16" s="15">
        <f>MAX(G15,0)*'三表-假设'!G19</f>
        <v>9119.300426422295</v>
      </c>
      <c r="H16" s="15">
        <f>MAX(H15,0)*'三表-假设'!H19</f>
        <v>9190.87402928166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5371.77513893</v>
      </c>
      <c r="C17" s="8">
        <f>C15-C16</f>
        <v>11579.75410799</v>
      </c>
      <c r="D17" s="8">
        <f>D15-D16</f>
        <v>30942.4445687983</v>
      </c>
      <c r="E17" s="8">
        <f>E15-E16</f>
        <v>46275.79739557968</v>
      </c>
      <c r="F17" s="8">
        <f>F15-F16</f>
        <v>51590.16569653361</v>
      </c>
      <c r="G17" s="8">
        <f>G15-G16</f>
        <v>52280.231719660034</v>
      </c>
      <c r="H17" s="8">
        <f>H15-H16</f>
        <v>52690.55755251196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0.6025345593165545</v>
      </c>
      <c r="D20" s="14">
        <f>D5/C5-1</f>
        <v>1.3125475835300486</v>
      </c>
      <c r="E20" s="14">
        <f>E5/D5-1</f>
        <v>0.5074641878110615</v>
      </c>
      <c r="F20" s="14">
        <f>F5/E5-1</f>
        <v>0.1491184857073402</v>
      </c>
      <c r="G20" s="14">
        <f>G5/F5-1</f>
        <v>0.04735656655745246</v>
      </c>
      <c r="H20" s="14">
        <f>H5/G5-1</f>
        <v>0.02806230193530035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0.3380495823657168</v>
      </c>
      <c r="C21" s="14">
        <f>C7/C5</f>
        <v>0.4203563171482984</v>
      </c>
      <c r="D21" s="14">
        <f>D7/D5</f>
        <v>0.4632418396421724</v>
      </c>
      <c r="E21" s="14">
        <f>E7/E5</f>
        <v>0.45922145899561284</v>
      </c>
      <c r="F21" s="14">
        <f>F7/F5</f>
        <v>0.44951177972415135</v>
      </c>
      <c r="G21" s="14">
        <f>G7/G5</f>
        <v>0.4396308197638187</v>
      </c>
      <c r="H21" s="14">
        <f>H7/H5</f>
        <v>0.4346937045884246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0.24615293302119307</v>
      </c>
      <c r="C22" s="14">
        <f>C11/C5</f>
        <v>0.35015515440301087</v>
      </c>
      <c r="D22" s="14">
        <f>D11/D5</f>
        <v>0.4125164001381409</v>
      </c>
      <c r="E22" s="14">
        <f>E11/E5</f>
        <v>0.40873506859640235</v>
      </c>
      <c r="F22" s="14">
        <f>F11/F5</f>
        <v>0.3964380659746797</v>
      </c>
      <c r="G22" s="14">
        <f>G11/G5</f>
        <v>0.38356430006978004</v>
      </c>
      <c r="H22" s="14">
        <f>H11/H5</f>
        <v>0.37601602563595526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0.2251168879023245</v>
      </c>
      <c r="C23" s="14">
        <f>C17/C5</f>
        <v>0.30281834720648376</v>
      </c>
      <c r="D23" s="14">
        <f>D17/D5</f>
        <v>0.3499022952163063</v>
      </c>
      <c r="E23" s="14">
        <f>E17/E5</f>
        <v>0.34713553818542847</v>
      </c>
      <c r="F23" s="14">
        <f>F17/F5</f>
        <v>0.3367807639031419</v>
      </c>
      <c r="G23" s="14">
        <f>G17/G5</f>
        <v>0.32585418182266046</v>
      </c>
      <c r="H23" s="14">
        <f>H17/H5</f>
        <v>0.31944725080193853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0.11246084583495261</v>
      </c>
      <c r="C24" s="14">
        <f>C16/C15</f>
        <v>0.1485239399662781</v>
      </c>
      <c r="D24" s="14">
        <f>D16/D15</f>
        <v>0.1485239399662781</v>
      </c>
      <c r="E24" s="14">
        <f>E16/E15</f>
        <v>0.1485239399662781</v>
      </c>
      <c r="F24" s="14">
        <f>F16/F15</f>
        <v>0.1485239399662781</v>
      </c>
      <c r="G24" s="14">
        <f>G16/G15</f>
        <v>0.1485239399662781</v>
      </c>
      <c r="H24" s="14">
        <f>H16/H15</f>
        <v>0.1485239399662781</v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5053.80507394</v>
      </c>
      <c r="C6" s="22">
        <v>10986.89313196</v>
      </c>
      <c r="D6" s="23">
        <f>'三表-现金流量表'!D21</f>
        <v>18906.486496224657</v>
      </c>
      <c r="E6" s="23">
        <f>'三表-现金流量表'!E21</f>
        <v>38816.03429602973</v>
      </c>
      <c r="F6" s="23">
        <f>'三表-现金流量表'!F21</f>
        <v>71352.45791002283</v>
      </c>
      <c r="G6" s="23">
        <f>'三表-现金流量表'!G21</f>
        <v>108393.79241827008</v>
      </c>
      <c r="H6" s="23">
        <f>'三表-现金流量表'!H21</f>
        <v>147895.7746257012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4603.55664317</v>
      </c>
      <c r="C7" s="22">
        <v>6276.87602207</v>
      </c>
      <c r="D7" s="23">
        <f>'三表-假设'!D46</f>
        <v>14515.574476955682</v>
      </c>
      <c r="E7" s="23">
        <f>'三表-假设'!E46</f>
        <v>21881.708689514973</v>
      </c>
      <c r="F7" s="23">
        <f>'三表-假设'!F46</f>
        <v>25144.67595398459</v>
      </c>
      <c r="G7" s="23">
        <f>'三表-假设'!G46</f>
        <v>26335.44147436504</v>
      </c>
      <c r="H7" s="23">
        <f>'三表-假设'!H46</f>
        <v>27074.474584618103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7051.32021604</v>
      </c>
      <c r="C8" s="22">
        <v>12680.70762468</v>
      </c>
      <c r="D8" s="23">
        <f>'三表-假设'!D47</f>
        <v>27155.119326258537</v>
      </c>
      <c r="E8" s="23">
        <f>'三表-假设'!E47</f>
        <v>41241.980550938744</v>
      </c>
      <c r="F8" s="23">
        <f>'三表-假设'!F47</f>
        <v>48242.844251808034</v>
      </c>
      <c r="G8" s="23">
        <f>'三表-假设'!G47</f>
        <v>51434.399752615696</v>
      </c>
      <c r="H8" s="23">
        <f>'三表-假设'!H47</f>
        <v>53343.645327963546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5872.418795899999</v>
      </c>
      <c r="C9" s="22">
        <v>8502.55051166</v>
      </c>
      <c r="D9" s="23">
        <f>'三表-假设'!D55</f>
        <v>12537.568905089378</v>
      </c>
      <c r="E9" s="23">
        <f>'三表-假设'!E55</f>
        <v>18652.081687228463</v>
      </c>
      <c r="F9" s="23">
        <f>'三表-假设'!F55</f>
        <v>23750.177115068785</v>
      </c>
      <c r="G9" s="23">
        <f>'三表-假设'!G55</f>
        <v>28609.53333705389</v>
      </c>
      <c r="H9" s="23">
        <f>'三表-假设'!H55</f>
        <v>32349.84756178678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6285.175826210003</v>
      </c>
      <c r="C10" s="22">
        <v>6841.94359741</v>
      </c>
      <c r="D10" s="15">
        <f>C10</f>
        <v>6841.94359741</v>
      </c>
      <c r="E10" s="15">
        <f>D10</f>
        <v>6841.94359741</v>
      </c>
      <c r="F10" s="15">
        <f>E10</f>
        <v>6841.94359741</v>
      </c>
      <c r="G10" s="15">
        <f>F10</f>
        <v>6841.94359741</v>
      </c>
      <c r="H10" s="15">
        <f>G10</f>
        <v>6841.94359741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28866.27655526</v>
      </c>
      <c r="C11" s="24">
        <f>SUM(C6:C10)</f>
        <v>45288.97088778</v>
      </c>
      <c r="D11" s="24">
        <f>SUM(D6:D10)</f>
        <v>79956.69280193826</v>
      </c>
      <c r="E11" s="24">
        <f>SUM(E6:E10)</f>
        <v>127433.74882112192</v>
      </c>
      <c r="F11" s="24">
        <f>SUM(F6:F10)</f>
        <v>175332.09882829426</v>
      </c>
      <c r="G11" s="24">
        <f>SUM(G6:G10)</f>
        <v>221615.1105797147</v>
      </c>
      <c r="H11" s="24">
        <f>SUM(H6:H10)</f>
        <v>267505.68569747964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2990.8903881399997</v>
      </c>
      <c r="C13" s="22">
        <v>7329.82928358</v>
      </c>
      <c r="D13" s="23">
        <f>'三表-假设'!D48</f>
        <v>15696.473314259694</v>
      </c>
      <c r="E13" s="23">
        <f>'三表-假设'!E48</f>
        <v>23839.101547200622</v>
      </c>
      <c r="F13" s="23">
        <f>'三表-假设'!F48</f>
        <v>27885.810712319384</v>
      </c>
      <c r="G13" s="23">
        <f>'三表-假设'!G48</f>
        <v>29730.625502028815</v>
      </c>
      <c r="H13" s="23">
        <f>'三表-假设'!H48</f>
        <v>30834.226700158597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2699.55356441</v>
      </c>
      <c r="C14" s="22">
        <v>1670.32395068</v>
      </c>
      <c r="D14" s="23">
        <f>'三表-假设'!D59</f>
        <v>1670.32395068</v>
      </c>
      <c r="E14" s="23">
        <f>'三表-假设'!E59</f>
        <v>1670.32395068</v>
      </c>
      <c r="F14" s="23">
        <f>'三表-假设'!F59</f>
        <v>1670.32395068</v>
      </c>
      <c r="G14" s="23">
        <f>'三表-假设'!G59</f>
        <v>1670.32395068</v>
      </c>
      <c r="H14" s="23">
        <f>'三表-假设'!H59</f>
        <v>1670.32395068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2882.99142348</v>
      </c>
      <c r="C15" s="22">
        <v>4667.619055899999</v>
      </c>
      <c r="D15" s="15">
        <f>C15</f>
        <v>4667.619055899999</v>
      </c>
      <c r="E15" s="15">
        <f>D15</f>
        <v>4667.619055899999</v>
      </c>
      <c r="F15" s="15">
        <f>E15</f>
        <v>4667.619055899999</v>
      </c>
      <c r="G15" s="15">
        <f>F15</f>
        <v>4667.619055899999</v>
      </c>
      <c r="H15" s="15">
        <f>G15</f>
        <v>4667.619055899999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8573.43537603</v>
      </c>
      <c r="C16" s="24">
        <f>SUM(C13:C15)</f>
        <v>13667.77229016</v>
      </c>
      <c r="D16" s="24">
        <f>SUM(D13:D15)</f>
        <v>22034.416320839693</v>
      </c>
      <c r="E16" s="24">
        <f>SUM(E13:E15)</f>
        <v>30177.04455378062</v>
      </c>
      <c r="F16" s="24">
        <f>SUM(F13:F15)</f>
        <v>34223.75371889939</v>
      </c>
      <c r="G16" s="24">
        <f>SUM(G13:G15)</f>
        <v>36068.56850860882</v>
      </c>
      <c r="H16" s="24">
        <f>SUM(H13:H15)</f>
        <v>37172.1697067386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20292.84117923</v>
      </c>
      <c r="C18" s="22">
        <v>31621.198597619998</v>
      </c>
      <c r="D18" s="15">
        <f>C18</f>
        <v>31621.198597619998</v>
      </c>
      <c r="E18" s="15">
        <f>D18</f>
        <v>31621.198597619998</v>
      </c>
      <c r="F18" s="15">
        <f>E18</f>
        <v>31621.198597619998</v>
      </c>
      <c r="G18" s="15">
        <f>F18</f>
        <v>31621.198597619998</v>
      </c>
      <c r="H18" s="15">
        <f>G18</f>
        <v>31621.198597619998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C19+'三表-利润表'!D17-'三表-假设'!D62</f>
        <v>26301.077883478552</v>
      </c>
      <c r="E19" s="15">
        <f>D19+'三表-利润表'!E17-'三表-假设'!E62</f>
        <v>65635.50566972129</v>
      </c>
      <c r="F19" s="15">
        <f>E19+'三表-利润表'!F17-'三表-假设'!F62</f>
        <v>109487.14651177486</v>
      </c>
      <c r="G19" s="15">
        <f>F19+'三表-利润表'!G17-'三表-假设'!G62</f>
        <v>153925.3434734859</v>
      </c>
      <c r="H19" s="15">
        <f>G19+'三表-利润表'!H17-'三表-假设'!H62</f>
        <v>198712.31739312108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20292.84117923</v>
      </c>
      <c r="C20" s="24">
        <f>C18+C19</f>
        <v>31621.198597619998</v>
      </c>
      <c r="D20" s="24">
        <f>D18+D19</f>
        <v>57922.27648109855</v>
      </c>
      <c r="E20" s="24">
        <f>E18+E19</f>
        <v>97256.70426734128</v>
      </c>
      <c r="F20" s="24">
        <f>F18+F19</f>
        <v>141108.34510939487</v>
      </c>
      <c r="G20" s="24">
        <f>G18+G19</f>
        <v>185546.5420711059</v>
      </c>
      <c r="H20" s="24">
        <f>H18+H19</f>
        <v>230333.51599074109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28866.27655526</v>
      </c>
      <c r="C21" s="8">
        <f>C16+C20</f>
        <v>45288.97088778</v>
      </c>
      <c r="D21" s="8">
        <f>D16+D20</f>
        <v>79956.69280193825</v>
      </c>
      <c r="E21" s="8">
        <f>E16+E20</f>
        <v>127433.7488211219</v>
      </c>
      <c r="F21" s="8">
        <f>F16+F20</f>
        <v>175332.09882829426</v>
      </c>
      <c r="G21" s="8">
        <f>G16+G20</f>
        <v>221615.11057971473</v>
      </c>
      <c r="H21" s="8">
        <f>H16+H20</f>
        <v>267505.6856974797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ROUND(C19+'三表-利润表'!D17-'三表-假设'!D62-D19,6)</f>
        <v>0.0</v>
      </c>
      <c r="E26" s="16">
        <f>ROUND(D19+'三表-利润表'!E17-'三表-假设'!E62-E19,6)</f>
        <v>0.0</v>
      </c>
      <c r="F26" s="16">
        <f>ROUND(E19+'三表-利润表'!F17-'三表-假设'!F62-F19,6)</f>
        <v>0.0</v>
      </c>
      <c r="G26" s="16">
        <f>ROUND(F19+'三表-利润表'!G17-'三表-假设'!G62-G19,6)</f>
        <v>0.0</v>
      </c>
      <c r="H26" s="16">
        <f>ROUND(G19+'三表-利润表'!H17-'三表-假设'!H62-H19,6)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ROUND('三表-假设'!D52+'三表-假设'!D53-'三表-假设'!D54-'三表-假设'!D55,6)</f>
        <v>0.0</v>
      </c>
      <c r="E27" s="16">
        <f>ROUND('三表-假设'!E52+'三表-假设'!E53-'三表-假设'!E54-'三表-假设'!E55,6)</f>
        <v>0.0</v>
      </c>
      <c r="F27" s="16">
        <f>ROUND('三表-假设'!F52+'三表-假设'!F53-'三表-假设'!F54-'三表-假设'!F55,6)</f>
        <v>0.0</v>
      </c>
      <c r="G27" s="16">
        <f>ROUND('三表-假设'!G52+'三表-假设'!G53-'三表-假设'!G54-'三表-假设'!G55,6)</f>
        <v>0.0</v>
      </c>
      <c r="H27" s="16">
        <f>ROUND('三表-假设'!H52+'三表-假设'!H53-'三表-假设'!H54-'三表-假设'!H55,6)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ROUND('三表-假设'!D57-'三表-假设'!D58-'三表-假设'!D59,6)</f>
        <v>0.0</v>
      </c>
      <c r="E28" s="16">
        <f>ROUND('三表-假设'!E57-'三表-假设'!E58-'三表-假设'!E59,6)</f>
        <v>0.0</v>
      </c>
      <c r="F28" s="16">
        <f>ROUND('三表-假设'!F57-'三表-假设'!F58-'三表-假设'!F59,6)</f>
        <v>0.0</v>
      </c>
      <c r="G28" s="16">
        <f>ROUND('三表-假设'!G57-'三表-假设'!G58-'三表-假设'!G59,6)</f>
        <v>0.0</v>
      </c>
      <c r="H28" s="16">
        <f>ROUND('三表-假设'!H57-'三表-假设'!H58-'三表-假设'!H59,6)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42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5371.77513893</v>
      </c>
      <c r="C6" s="23">
        <f>'三表-利润表'!C17</f>
        <v>11579.75410799</v>
      </c>
      <c r="D6" s="23">
        <f>'三表-利润表'!D17</f>
        <v>30942.4445687983</v>
      </c>
      <c r="E6" s="23">
        <f>'三表-利润表'!E17</f>
        <v>46275.79739557968</v>
      </c>
      <c r="F6" s="23">
        <f>'三表-利润表'!F17</f>
        <v>51590.16569653361</v>
      </c>
      <c r="G6" s="23">
        <f>'三表-利润表'!G17</f>
        <v>52280.231719660034</v>
      </c>
      <c r="H6" s="23">
        <f>'三表-利润表'!H17</f>
        <v>52690.55755251196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643.47557951</v>
      </c>
      <c r="C7" s="23">
        <f>'三表-利润表'!C10</f>
        <v>826.2259457200001</v>
      </c>
      <c r="D7" s="23">
        <f>'三表-利润表'!D10</f>
        <v>1270.8818521811806</v>
      </c>
      <c r="E7" s="23">
        <f>'三表-利润表'!E10</f>
        <v>1883.941822216746</v>
      </c>
      <c r="F7" s="23">
        <f>'三表-利润表'!F10</f>
        <v>2561.214607956576</v>
      </c>
      <c r="G7" s="23">
        <f>'三表-利润表'!G10</f>
        <v>3162.6724393061754</v>
      </c>
      <c r="H7" s="23">
        <f>'三表-利润表'!H10</f>
        <v>3682.116501813367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-'三表-假设'!C50</f>
        <v>-2963.7678921000024</v>
      </c>
      <c r="D8" s="15">
        <f>-'三表-假设'!D50</f>
        <v>-14346.466125784524</v>
      </c>
      <c r="E8" s="15">
        <f>-'三表-假设'!E50</f>
        <v>-13310.36720429857</v>
      </c>
      <c r="F8" s="15">
        <f>-'三表-假设'!F50</f>
        <v>-6217.121800220142</v>
      </c>
      <c r="G8" s="15">
        <f>-'三表-假设'!G50</f>
        <v>-2537.5062314786774</v>
      </c>
      <c r="H8" s="15">
        <f>-'三表-假设'!H50</f>
        <v>-1544.6774874711336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1453.9139984200024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3164.5829578499997</v>
      </c>
      <c r="C10" s="20">
        <v>10896.12616003</v>
      </c>
      <c r="D10" s="24">
        <f>SUM(D6:D9)</f>
        <v>17866.860295194958</v>
      </c>
      <c r="E10" s="24">
        <f>SUM(E6:E9)</f>
        <v>34849.37201349785</v>
      </c>
      <c r="F10" s="24">
        <f>SUM(F6:F9)</f>
        <v>47934.258504270045</v>
      </c>
      <c r="G10" s="24">
        <f>SUM(G6:G9)</f>
        <v>52905.39792748753</v>
      </c>
      <c r="H10" s="24">
        <f>SUM(H6:H9)</f>
        <v>54827.99656685419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-2866.15732196</v>
      </c>
      <c r="C12" s="22">
        <v>-2759.99469591</v>
      </c>
      <c r="D12" s="15">
        <f>-'三表-假设'!D53</f>
        <v>-5305.900245610559</v>
      </c>
      <c r="E12" s="15">
        <f>-'三表-假设'!E53</f>
        <v>-7998.454604355833</v>
      </c>
      <c r="F12" s="15">
        <f>-'三表-假设'!F53</f>
        <v>-7659.310035796899</v>
      </c>
      <c r="G12" s="15">
        <f>-'三表-假设'!G53</f>
        <v>-8022.028661291279</v>
      </c>
      <c r="H12" s="15">
        <f>-'三表-假设'!H53</f>
        <v>-7422.43072654626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-5305.900245610559</v>
      </c>
      <c r="E13" s="24">
        <f>E12</f>
        <v>-7998.454604355833</v>
      </c>
      <c r="F13" s="24">
        <f>F12</f>
        <v>-7659.310035796899</v>
      </c>
      <c r="G13" s="24">
        <f>G12</f>
        <v>-8022.028661291279</v>
      </c>
      <c r="H13" s="24">
        <f>H12</f>
        <v>-7422.43072654626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-'三表-假设'!D58</f>
        <v>-0.0</v>
      </c>
      <c r="E15" s="15">
        <f>-'三表-假设'!E58</f>
        <v>-0.0</v>
      </c>
      <c r="F15" s="15">
        <f>-'三表-假设'!F58</f>
        <v>-0.0</v>
      </c>
      <c r="G15" s="15">
        <f>-'三表-假设'!G58</f>
        <v>-0.0</v>
      </c>
      <c r="H15" s="15">
        <f>-'三表-假设'!H58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-'三表-假设'!D62</f>
        <v>-4641.366685319745</v>
      </c>
      <c r="E16" s="15">
        <f>-'三表-假设'!E62</f>
        <v>-6941.369609336952</v>
      </c>
      <c r="F16" s="15">
        <f>-'三表-假设'!F62</f>
        <v>-7738.524854480041</v>
      </c>
      <c r="G16" s="15">
        <f>-'三表-假设'!G62</f>
        <v>-7842.034757949004</v>
      </c>
      <c r="H16" s="15">
        <f>-'三表-假设'!H62</f>
        <v>-7903.583632876793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-4641.366685319745</v>
      </c>
      <c r="E17" s="24">
        <f>E15+E16</f>
        <v>-6941.369609336952</v>
      </c>
      <c r="F17" s="24">
        <f>F15+F16</f>
        <v>-7738.524854480041</v>
      </c>
      <c r="G17" s="24">
        <f>G15+G16</f>
        <v>-7842.034757949004</v>
      </c>
      <c r="H17" s="24">
        <f>H15+H16</f>
        <v>-7903.583632876793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7919.593364264658</v>
      </c>
      <c r="E19" s="15">
        <f>E10+E13+E17</f>
        <v>19909.54779980507</v>
      </c>
      <c r="F19" s="15">
        <f>F10+F13+F17</f>
        <v>32536.4236139931</v>
      </c>
      <c r="G19" s="15">
        <f>G10+G13+G17</f>
        <v>37041.33450824725</v>
      </c>
      <c r="H19" s="15">
        <f>H10+H13+H17</f>
        <v>39501.98220743111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10986.89313196</v>
      </c>
      <c r="E20" s="15">
        <f>D21</f>
        <v>18906.486496224657</v>
      </c>
      <c r="F20" s="15">
        <f>E21</f>
        <v>38816.03429602973</v>
      </c>
      <c r="G20" s="15">
        <f>F21</f>
        <v>71352.45791002283</v>
      </c>
      <c r="H20" s="15">
        <f>G21</f>
        <v>108393.79241827008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18906.486496224657</v>
      </c>
      <c r="E21" s="8">
        <f>E20+E19</f>
        <v>38816.03429602973</v>
      </c>
      <c r="F21" s="8">
        <f>F20+F19</f>
        <v>71352.45791002283</v>
      </c>
      <c r="G21" s="8">
        <f>G20+G19</f>
        <v>108393.79241827008</v>
      </c>
      <c r="H21" s="8">
        <f>H20+H19</f>
        <v>147895.7746257012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23862.15973837</v>
      </c>
      <c r="C6" s="22">
        <v>38239.935640669995</v>
      </c>
      <c r="D6" s="45">
        <f>IF(B6=0,"NM",(C6-B6)/ABS(B6))</f>
        <v>0.6025345593165545</v>
      </c>
      <c r="E6" s="12" t="inlineStr">
        <is>
          <t xml:space="preserve">p.94</t>
        </is>
      </c>
      <c r="F6" s="12" t="inlineStr">
        <is>
          <r>
            <rPr>
              <sz val="12"/>
              <rFont val="KaiTi"/>
              <family val="2"/>
            </rPr>
            <t xml:space="preserve">其中：营业收入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15795.56660447</v>
      </c>
      <c r="C7" s="22">
        <v>22165.53712677</v>
      </c>
      <c r="D7" s="45">
        <f>IF(B7=0,"NM",(C7-B7)/ABS(B7))</f>
        <v>0.4032758483318577</v>
      </c>
      <c r="E7" s="12" t="inlineStr">
        <is>
          <t xml:space="preserve">p.94</t>
        </is>
      </c>
      <c r="F7" s="12" t="inlineStr">
        <is>
          <r>
            <rPr>
              <sz val="12"/>
              <rFont val="KaiTi"/>
              <family val="2"/>
            </rPr>
            <t xml:space="preserve">其中：营业成本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199.26812022</v>
      </c>
      <c r="C8" s="22">
        <v>226.17516200999998</v>
      </c>
      <c r="D8" s="45">
        <f>IF(B8=0,"NM",(C8-B8)/ABS(B8))</f>
        <v>0.13502933515051752</v>
      </c>
      <c r="E8" s="12" t="inlineStr">
        <is>
          <t xml:space="preserve">p.94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679.53645421</v>
      </c>
      <c r="C9" s="22">
        <v>760.87454439</v>
      </c>
      <c r="D9" s="45">
        <f>IF(B9=0,"NM",(C9-B9)/ABS(B9))</f>
        <v>0.11969643376168859</v>
      </c>
      <c r="E9" s="12" t="inlineStr">
        <is>
          <t xml:space="preserve">p.94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1244.0268502899999</v>
      </c>
      <c r="C10" s="22">
        <v>1615.28174938</v>
      </c>
      <c r="D10" s="45">
        <f>IF(B10=0,"NM",(C10-B10)/ABS(B10))</f>
        <v>0.29842997279637135</v>
      </c>
      <c r="E10" s="12" t="inlineStr">
        <is>
          <t xml:space="preserve">p.95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-144.4311519</v>
      </c>
      <c r="C11" s="22">
        <v>182.79815636</v>
      </c>
      <c r="D11" s="45">
        <f>IF(B11=0,"NM",(C11-B11)/ABS(B11))</f>
        <v>2.2656421689869526</v>
      </c>
      <c r="E11" s="12" t="inlineStr">
        <is>
          <t xml:space="preserve">p.95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-32.610477859999996</v>
      </c>
      <c r="C12" s="22">
        <v>378.88503492</v>
      </c>
      <c r="D12" s="45">
        <f>IF(B12=0,"NM",(C12-B12)/ABS(B12))</f>
        <v>12.618506068711747</v>
      </c>
      <c r="E12" s="12" t="inlineStr">
        <is>
          <t xml:space="preserve">p.95</t>
        </is>
      </c>
      <c r="F12" s="12" t="inlineStr">
        <is>
          <r>
            <rPr>
              <sz val="12"/>
              <rFont val="KaiTi"/>
              <family val="2"/>
            </rPr>
            <t xml:space="preserve">投资收益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22">
        <v>66.87608242</v>
      </c>
      <c r="C13" s="22">
        <v>13.62637258</v>
      </c>
      <c r="D13" s="45">
        <f>IF(B13=0,"NM",(C13-B13)/ABS(B13))</f>
        <v>-0.7962444556123567</v>
      </c>
      <c r="E13" s="12" t="inlineStr">
        <is>
          <t xml:space="preserve">p.95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6049.94321822</v>
      </c>
      <c r="C14" s="20">
        <v>13596.9198998</v>
      </c>
      <c r="D14" s="46">
        <f>IF(B14=0,"NM",(C14-B14)/ABS(B14))</f>
        <v>1.2474458700457776</v>
      </c>
      <c r="E14" s="19" t="inlineStr">
        <is>
          <t xml:space="preserve">p.95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6052.43736428</v>
      </c>
      <c r="C15" s="20">
        <v>13599.62381976</v>
      </c>
      <c r="D15" s="46">
        <f>IF(B15=0,"NM",(C15-B15)/ABS(B15))</f>
        <v>1.2469664700739642</v>
      </c>
      <c r="E15" s="19" t="inlineStr">
        <is>
          <t xml:space="preserve">p.95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四、利润总额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680.66222535</v>
      </c>
      <c r="C16" s="22">
        <v>2019.86971177</v>
      </c>
      <c r="D16" s="45">
        <f>IF(B16=0,"NM",(C16-B16)/ABS(B16))</f>
        <v>1.9675066964842551</v>
      </c>
      <c r="E16" s="12" t="inlineStr">
        <is>
          <t xml:space="preserve">p.95</t>
        </is>
      </c>
      <c r="F16" s="12" t="inlineStr">
        <is>
          <r>
            <rPr>
              <sz val="12"/>
              <rFont val="KaiTi"/>
              <family val="2"/>
            </rPr>
            <t xml:space="preserve">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5371.77513893</v>
      </c>
      <c r="C17" s="20">
        <v>11579.75410799</v>
      </c>
      <c r="D17" s="46">
        <f>IF(B17=0,"NM",(C17-B17)/ABS(B17))</f>
        <v>1.1556662013027899</v>
      </c>
      <c r="E17" s="19" t="inlineStr">
        <is>
          <t xml:space="preserve">p.95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5171.485967850001</v>
      </c>
      <c r="C18" s="20">
        <v>10797.25430045</v>
      </c>
      <c r="D18" s="46">
        <f>IF(B18=0,"NM",(C18-B18)/ABS(B18))</f>
        <v>1.0878436812115848</v>
      </c>
      <c r="E18" s="19" t="inlineStr">
        <is>
          <t xml:space="preserve">p.8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5068.35633829</v>
      </c>
      <c r="C19" s="22">
        <v>10710.05324651</v>
      </c>
      <c r="D19" s="45">
        <f>IF(B19=0,"NM",(C19-B19)/ABS(B19))</f>
        <v>1.113121598337231</v>
      </c>
      <c r="E19" s="12" t="inlineStr">
        <is>
          <t xml:space="preserve">p.8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103.12962956</v>
      </c>
      <c r="C20" s="22">
        <v>87.20105394</v>
      </c>
      <c r="D20" s="45">
        <f>IF(B20=0,"NM",(C20-B20)/ABS(B20))</f>
        <v>-0.15445198133609978</v>
      </c>
      <c r="E20" s="12" t="inlineStr">
        <is>
          <t xml:space="preserve">p.9</t>
        </is>
      </c>
      <c r="F20" s="12" t="inlineStr">
        <is>
          <r>
            <rPr>
              <sz val="12"/>
              <rFont val="KaiTi"/>
              <family val="2"/>
            </rPr>
            <t xml:space="preserve">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5053.80507394</v>
      </c>
      <c r="C22" s="22">
        <v>10986.89313196</v>
      </c>
      <c r="D22" s="45">
        <f>IF(B22=0,"NM",(C22-B22)/ABS(B22))</f>
        <v>1.1739843486671127</v>
      </c>
      <c r="E22" s="12" t="inlineStr">
        <is>
          <t xml:space="preserve">p.90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4603.55664317</v>
      </c>
      <c r="C23" s="22">
        <v>6276.87602207</v>
      </c>
      <c r="D23" s="45">
        <f>IF(B23=0,"NM",(C23-B23)/ABS(B23))</f>
        <v>0.3634840425788169</v>
      </c>
      <c r="E23" s="12" t="inlineStr">
        <is>
          <t xml:space="preserve">p.90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7051.32021604</v>
      </c>
      <c r="C24" s="22">
        <v>12680.70762468</v>
      </c>
      <c r="D24" s="45">
        <f>IF(B24=0,"NM",(C24-B24)/ABS(B24))</f>
        <v>0.7983451660349427</v>
      </c>
      <c r="E24" s="12" t="inlineStr">
        <is>
          <t xml:space="preserve">p.90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5819.881791899999</v>
      </c>
      <c r="C25" s="22">
        <v>7080.61312429</v>
      </c>
      <c r="D25" s="45">
        <f>IF(B25=0,"NM",(C25-B25)/ABS(B25))</f>
        <v>0.21662490364403322</v>
      </c>
      <c r="E25" s="12" t="inlineStr">
        <is>
          <t xml:space="preserve">p.90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52.537004</v>
      </c>
      <c r="C26" s="22">
        <v>1421.93738737</v>
      </c>
      <c r="D26" s="45">
        <f>IF(B26=0,"NM",(C26-B26)/ABS(B26))</f>
        <v>26.065444907555058</v>
      </c>
      <c r="E26" s="12" t="inlineStr">
        <is>
          <t xml:space="preserve">p.90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28866.27655526</v>
      </c>
      <c r="C27" s="20">
        <v>45288.97088778</v>
      </c>
      <c r="D27" s="46">
        <f>IF(B27=0,"NM",(C27-B27)/ABS(B27))</f>
        <v>0.5689231966263922</v>
      </c>
      <c r="E27" s="19" t="inlineStr">
        <is>
          <t xml:space="preserve">p.91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2990.8903881399997</v>
      </c>
      <c r="C28" s="22">
        <v>7329.82928358</v>
      </c>
      <c r="D28" s="45">
        <f>IF(B28=0,"NM",(C28-B28)/ABS(B28))</f>
        <v>1.4507181248251415</v>
      </c>
      <c r="E28" s="12" t="inlineStr">
        <is>
          <t xml:space="preserve">p.91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644.41703566</v>
      </c>
      <c r="C29" s="22">
        <v>784.23937054</v>
      </c>
      <c r="D29" s="45">
        <f>IF(B29=0,"NM",(C29-B29)/ABS(B29))</f>
        <v>0.21697492018781986</v>
      </c>
      <c r="E29" s="12" t="inlineStr">
        <is>
          <t xml:space="preserve">p.91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23.175094350000002</v>
      </c>
      <c r="C30" s="22">
        <v>74.73113151000001</v>
      </c>
      <c r="D30" s="45">
        <f>IF(B30=0,"NM",(C30-B30)/ABS(B30))</f>
        <v>2.2246311657410796</v>
      </c>
      <c r="E30" s="12" t="inlineStr">
        <is>
          <t xml:space="preserve">p.91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8573.43537603</v>
      </c>
      <c r="C31" s="20">
        <v>13667.77229016</v>
      </c>
      <c r="D31" s="46">
        <f>IF(B31=0,"NM",(C31-B31)/ABS(B31))</f>
        <v>0.5942001882201128</v>
      </c>
      <c r="E31" s="19" t="inlineStr">
        <is>
          <t xml:space="preserve">p.92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19133.88701266</v>
      </c>
      <c r="C32" s="22">
        <v>29765.15627568</v>
      </c>
      <c r="D32" s="45">
        <f>IF(B32=0,"NM",(C32-B32)/ABS(B32))</f>
        <v>0.5556251720304287</v>
      </c>
      <c r="E32" s="12" t="inlineStr">
        <is>
          <t xml:space="preserve">p.92</t>
        </is>
      </c>
      <c r="F32" s="12" t="inlineStr">
        <is>
          <r>
            <rPr>
              <sz val="12"/>
              <rFont val="KaiTi"/>
              <family val="2"/>
            </rPr>
            <t xml:space="preserve">归属于母公司所有者权益合计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1158.9541665699999</v>
      </c>
      <c r="C33" s="22">
        <v>1856.04232194</v>
      </c>
      <c r="D33" s="45">
        <f>IF(B33=0,"NM",(C33-B33)/ABS(B33))</f>
        <v>0.6014803479529115</v>
      </c>
      <c r="E33" s="12" t="inlineStr">
        <is>
          <t xml:space="preserve">p.92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20292.84117923</v>
      </c>
      <c r="C34" s="20">
        <v>31621.198597619998</v>
      </c>
      <c r="D34" s="46">
        <f>IF(B34=0,"NM",(C34-B34)/ABS(B34))</f>
        <v>0.5582440289329582</v>
      </c>
      <c r="E34" s="19" t="inlineStr">
        <is>
          <t xml:space="preserve">p.92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3164.5829578499997</v>
      </c>
      <c r="C36" s="20">
        <v>10896.12616003</v>
      </c>
      <c r="D36" s="46">
        <f>IF(B36=0,"NM",(C36-B36)/ABS(B36))</f>
        <v>2.443147582211834</v>
      </c>
      <c r="E36" s="19" t="inlineStr">
        <is>
          <t xml:space="preserve">p.98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2866.15732196</v>
      </c>
      <c r="C37" s="22">
        <v>2759.99469591</v>
      </c>
      <c r="D37" s="45">
        <f>IF(B37=0,"NM",(C37-B37)/ABS(B37))</f>
        <v>-0.037040055420754676</v>
      </c>
      <c r="E37" s="12" t="inlineStr">
        <is>
          <t xml:space="preserve">p.98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545.14848352</v>
      </c>
      <c r="C38" s="22">
        <v>739.7631057000001</v>
      </c>
      <c r="D38" s="45">
        <f>IF(B38=0,"NM",(C38-B38)/ABS(B38))</f>
        <v>0.35699378804721593</v>
      </c>
      <c r="E38" s="12" t="inlineStr">
        <is>
          <t xml:space="preserve">p.190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98.32709598999999</v>
      </c>
      <c r="C39" s="22">
        <v>86.46284002</v>
      </c>
      <c r="D39" s="45">
        <f>IF(B39=0,"NM",(C39-B39)/ABS(B39))</f>
        <v>-0.12066110414983272</v>
      </c>
      <c r="E39" s="12" t="inlineStr">
        <is>
          <t xml:space="preserve">p.191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4.72</v>
      </c>
      <c r="C41" s="25">
        <v>9.8</v>
      </c>
      <c r="D41" s="45">
        <f>IF(B41=0,"NM",(C41-B41)/ABS(B41))</f>
        <v>1.0762711864406782</v>
      </c>
      <c r="E41" s="12" t="inlineStr">
        <is>
          <t xml:space="preserve">p.8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0.3123</v>
      </c>
      <c r="C42" s="28">
        <v>0.4384</v>
      </c>
      <c r="D42" s="47">
        <f>(C42-B42)*100</f>
        <v>12.61</v>
      </c>
      <c r="E42" s="12" t="inlineStr">
        <is>
          <t xml:space="preserve">p.8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0.3380495823657167</v>
      </c>
      <c r="C43" s="13">
        <f>(C6-C7)/C6</f>
        <v>0.4203563171482984</v>
      </c>
      <c r="D43" s="47">
        <f>(C43-B43)*100</f>
        <v>8.230673478258172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0.2251168879023245</v>
      </c>
      <c r="C44" s="13">
        <f>C17/C6</f>
        <v>0.30281834720648376</v>
      </c>
      <c r="D44" s="47">
        <f>(C44-B44)*100</f>
        <v>7.770145930415925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0.2970052393012133</v>
      </c>
      <c r="C45" s="13">
        <f>C31/C27</f>
        <v>0.3017903039578203</v>
      </c>
      <c r="D45" s="47">
        <f>(C45-B45)*100</f>
        <v>0.47850646566069965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0.6119291394240498</v>
      </c>
      <c r="C46" s="16">
        <f>C36/C18</f>
        <v>1.0091571298432676</v>
      </c>
      <c r="D46" s="45">
        <f>IF(B46=0,"NM",(C46-B46)/ABS(B46))</f>
        <v>0.6491405047210047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1.5" customWidth="1"/>
    <col min="5" max="5" width="11.5" customWidth="1"/>
    <col min="6" max="6" width="11.5" customWidth="1"/>
    <col min="7" max="7" width="11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6674.176487229999</v>
      </c>
      <c r="C5" s="22">
        <v>8114.89835057</v>
      </c>
      <c r="D5" s="22">
        <v>10215.726013520001</v>
      </c>
      <c r="E5" s="22">
        <v>13235.13478935</v>
      </c>
      <c r="F5" s="15">
        <f>SUM(B5:E5)</f>
        <v>38239.935640669995</v>
      </c>
      <c r="G5" s="22">
        <v>38239.935640669995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1582.87612867</v>
      </c>
      <c r="C6" s="22">
        <v>2412.2392560300004</v>
      </c>
      <c r="D6" s="22">
        <v>3136.817052</v>
      </c>
      <c r="E6" s="22">
        <v>3665.32186375</v>
      </c>
      <c r="F6" s="15">
        <f>SUM(B6:E6)</f>
        <v>10797.25430045</v>
      </c>
      <c r="G6" s="22">
        <v>10797.25430045</v>
      </c>
      <c r="H6" s="16">
        <f>ROUND(F6-G6,2)</f>
        <v>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1568.38528719</v>
      </c>
      <c r="C7" s="22">
        <v>2406.99630768</v>
      </c>
      <c r="D7" s="22">
        <v>3108.31811779</v>
      </c>
      <c r="E7" s="22">
        <v>3626.35353385</v>
      </c>
      <c r="F7" s="15">
        <f>SUM(B7:E7)</f>
        <v>10710.05324651</v>
      </c>
      <c r="G7" s="22">
        <v>10710.05324651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14.49084148000002</v>
      </c>
      <c r="C8" s="15">
        <f>C6-C7</f>
        <v>5.242948350000382</v>
      </c>
      <c r="D8" s="15">
        <f>D6-D7</f>
        <v>28.498934210000037</v>
      </c>
      <c r="E8" s="15">
        <f>E6-E7</f>
        <v>38.96832990000009</v>
      </c>
      <c r="F8" s="15">
        <f>SUM(B8:E8)</f>
        <v>87.20105394000053</v>
      </c>
      <c r="G8" s="22">
        <v>87.20105394</v>
      </c>
      <c r="H8" s="16">
        <f>ROUND(F8-G8,2)</f>
        <v>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2164.4595701599997</v>
      </c>
      <c r="C9" s="22">
        <v>1054.00371714</v>
      </c>
      <c r="D9" s="22">
        <v>2236.3579401300003</v>
      </c>
      <c r="E9" s="22">
        <v>5441.3049326</v>
      </c>
      <c r="F9" s="15">
        <f>SUM(B9:E9)</f>
        <v>10896.12616003</v>
      </c>
      <c r="G9" s="22">
        <v>10896.12616003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光通信收发模块收入与成本（分产品）（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6" s="22">
        <v>37456.5187459</v>
      </c>
      <c r="C6" s="22">
        <v>21497.62234511</v>
      </c>
      <c r="D6" s="28">
        <v>0.4261</v>
      </c>
    </row>
    <row r="7" ht="20" customHeight="1">
      <c r="A7" s="31" t="inlineStr">
        <is>
          <r>
            <rPr>
              <b/>
              <sz val="12"/>
              <rFont val="KaiTi"/>
              <family val="2"/>
            </rPr>
            <t xml:space="preserve">营业收入分产品（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" s="31"/>
      <c r="C7" s="31"/>
      <c r="D7" s="31"/>
      <c r="E7" s="31"/>
      <c r="F7" s="31"/>
      <c r="G7" s="31"/>
    </row>
    <row r="8" ht="36" customHeight="1">
      <c r="A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8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占营业收入比重</t>
          </r>
        </is>
      </c>
      <c r="D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上年营业收入（百万元）</t>
          </r>
        </is>
      </c>
      <c r="E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上年占营业收入比重</t>
          </r>
        </is>
      </c>
      <c r="F8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9" s="22">
        <v>37456.5187459</v>
      </c>
      <c r="C9" s="28">
        <v>0.9795</v>
      </c>
      <c r="D9" s="22">
        <v>22885.756727930002</v>
      </c>
      <c r="E9" s="28">
        <v>0.9591</v>
      </c>
      <c r="F9" s="28">
        <v>0.6367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10" s="22">
        <v>783.41689477</v>
      </c>
      <c r="C10" s="28">
        <v>0.020499999999999997</v>
      </c>
      <c r="D10" s="22">
        <v>976.40301044</v>
      </c>
      <c r="E10" s="28">
        <v>0.0409</v>
      </c>
      <c r="F10" s="28">
        <v>-0.1977</v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占营业收入</t>
          </r>
          <r>
            <rPr>
              <b/>
              <sz val="12"/>
              <rFont val="Arial"/>
              <family val="2"/>
            </rPr>
            <t xml:space="preserve">10%</t>
          </r>
          <r>
            <rPr>
              <b/>
              <sz val="12"/>
              <rFont val="KaiTi"/>
              <family val="2"/>
            </rPr>
            <t xml:space="preserve">以上的产品、地区、销售模式（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1"/>
      <c r="C11" s="31"/>
      <c r="D11" s="31"/>
      <c r="E11" s="31"/>
      <c r="F11" s="31"/>
      <c r="G11" s="31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12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13" s="22">
        <v>37456.5187459</v>
      </c>
      <c r="C13" s="22">
        <v>21497.62234511</v>
      </c>
      <c r="D13" s="28">
        <v>0.4261</v>
      </c>
      <c r="E13" s="28">
        <v>0.6367</v>
      </c>
      <c r="F13" s="28">
        <v>0.4374</v>
      </c>
      <c r="G13" s="39">
        <v>7.96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境外</t>
          </r>
        </is>
      </c>
      <c r="B14" s="22">
        <v>34636.52329207</v>
      </c>
      <c r="C14" s="22">
        <v>19176.16474919</v>
      </c>
      <c r="D14" s="28">
        <v>0.4464</v>
      </c>
      <c r="E14" s="28">
        <v>0.672</v>
      </c>
      <c r="F14" s="28">
        <v>0.46340000000000003</v>
      </c>
      <c r="G14" s="39">
        <v>7.89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直销</t>
          </r>
        </is>
      </c>
      <c r="B15" s="22">
        <v>37738.95111382</v>
      </c>
      <c r="C15" s="22">
        <v>21842.68846111</v>
      </c>
      <c r="D15" s="28">
        <v>0.42119999999999996</v>
      </c>
      <c r="E15" s="28">
        <v>0.6059</v>
      </c>
      <c r="F15" s="28">
        <v>0.40380000000000005</v>
      </c>
      <c r="G15" s="39">
        <v>8.33</v>
      </c>
    </row>
    <row r="16" ht="20" customHeight="1">
      <c r="A16" s="31" t="inlineStr">
        <is>
          <r>
            <rPr>
              <b/>
              <sz val="12"/>
              <rFont val="KaiTi"/>
              <family val="2"/>
            </rPr>
            <t xml:space="preserve">光通信收发模块产能、产量、销量、毛利率（</t>
          </r>
          <r>
            <rPr>
              <b/>
              <sz val="12"/>
              <rFont val="Arial"/>
              <family val="2"/>
            </rPr>
            <t xml:space="preserve">p.13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" s="31"/>
      <c r="C16" s="31"/>
      <c r="D16" s="31"/>
      <c r="E16" s="31"/>
      <c r="F16" s="31"/>
      <c r="G16" s="31"/>
    </row>
    <row r="17" ht="24" customHeight="1">
      <c r="A1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" s="3" t="inlineStr">
        <is>
          <r>
            <rPr>
              <b/>
              <sz val="12"/>
              <color rgb="FFFFFFFF"/>
              <rFont val="KaiTi"/>
              <family val="2"/>
            </rPr>
            <t xml:space="preserve">产能（万只）</t>
          </r>
        </is>
      </c>
      <c r="C17" s="3" t="inlineStr">
        <is>
          <r>
            <rPr>
              <b/>
              <sz val="12"/>
              <color rgb="FFFFFFFF"/>
              <rFont val="KaiTi"/>
              <family val="2"/>
            </rPr>
            <t xml:space="preserve">产量（万只）</t>
          </r>
        </is>
      </c>
      <c r="D17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销量（万只）</t>
          </r>
        </is>
      </c>
      <c r="E17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</row>
    <row r="18" ht="20" customHeight="1">
      <c r="A18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</t>
          </r>
        </is>
      </c>
      <c r="B18" s="25">
        <v>2806.0</v>
      </c>
      <c r="C18" s="25">
        <v>2376.0</v>
      </c>
      <c r="D18" s="25">
        <v>2109.0</v>
      </c>
      <c r="E18" s="28">
        <v>0.4261</v>
      </c>
    </row>
    <row r="19" ht="20" customHeight="1">
      <c r="A19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</t>
          </r>
        </is>
      </c>
      <c r="B19" s="25">
        <v>2088.0</v>
      </c>
      <c r="C19" s="25">
        <v>1536.0</v>
      </c>
      <c r="D19" s="25">
        <v>1459.0</v>
      </c>
      <c r="E19" s="28">
        <v>0.3465</v>
      </c>
    </row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分产品产销存（</t>
          </r>
          <r>
            <rPr>
              <b/>
              <sz val="12"/>
              <rFont val="Arial"/>
              <family val="2"/>
            </rPr>
            <t xml:space="preserve">2025</t>
          </r>
          <r>
            <rPr>
              <b/>
              <sz val="12"/>
              <rFont val="KaiTi"/>
              <family val="2"/>
            </rPr>
            <t xml:space="preserve">年）（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" s="31"/>
      <c r="C20" s="31"/>
      <c r="D20" s="31"/>
      <c r="E20" s="31"/>
      <c r="F20" s="31"/>
      <c r="G20" s="31"/>
    </row>
    <row r="21" ht="24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销量（万只）</t>
          </r>
        </is>
      </c>
      <c r="C21" s="3" t="inlineStr">
        <is>
          <r>
            <rPr>
              <b/>
              <sz val="12"/>
              <color rgb="FFFFFFFF"/>
              <rFont val="KaiTi"/>
              <family val="2"/>
            </rPr>
            <t xml:space="preserve">产量（万只）</t>
          </r>
        </is>
      </c>
      <c r="D21" s="3" t="inlineStr">
        <is>
          <r>
            <rPr>
              <b/>
              <sz val="12"/>
              <color rgb="FFFFFFFF"/>
              <rFont val="KaiTi"/>
              <family val="2"/>
            </rPr>
            <t xml:space="preserve">库存量（万只）</t>
          </r>
        </is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22" s="25">
        <v>2109.0</v>
      </c>
      <c r="C22" s="25">
        <v>2376.0</v>
      </c>
      <c r="D22" s="25">
        <v>521.0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23" s="25">
        <v>3424.0</v>
      </c>
      <c r="C23" s="25">
        <v>3366.0</v>
      </c>
      <c r="D23" s="25">
        <v>909.0</v>
      </c>
    </row>
    <row r="24" ht="20" customHeight="1">
      <c r="A24" s="31" t="inlineStr">
        <is>
          <r>
            <rPr>
              <b/>
              <sz val="12"/>
              <rFont val="KaiTi"/>
              <family val="2"/>
            </rPr>
            <t xml:space="preserve">光通信模块产销存（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4" s="31"/>
      <c r="C24" s="31"/>
      <c r="D24" s="31"/>
      <c r="E24" s="31"/>
      <c r="F24" s="31"/>
      <c r="G24" s="31"/>
    </row>
    <row r="25" ht="24" customHeight="1">
      <c r="A2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年（万只）</t>
          </r>
        </is>
      </c>
      <c r="C2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年（万只）</t>
          </r>
        </is>
      </c>
      <c r="D25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销售量</t>
          </r>
        </is>
      </c>
      <c r="B26" s="25">
        <v>2109.0</v>
      </c>
      <c r="C26" s="25">
        <v>1459.0</v>
      </c>
      <c r="D26" s="28">
        <v>0.44549999999999995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生产量</t>
          </r>
        </is>
      </c>
      <c r="B27" s="25">
        <v>2376.0</v>
      </c>
      <c r="C27" s="25">
        <v>1536.0</v>
      </c>
      <c r="D27" s="28">
        <v>0.5468999999999999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库存量</t>
          </r>
        </is>
      </c>
      <c r="B28" s="25">
        <v>521.0</v>
      </c>
      <c r="C28" s="25">
        <v>254.0</v>
      </c>
      <c r="D28" s="28">
        <v>1.0512000000000001</v>
      </c>
    </row>
    <row r="29" ht="20" customHeight="1">
      <c r="A29" s="31" t="inlineStr">
        <is>
          <r>
            <rPr>
              <b/>
              <sz val="12"/>
              <rFont val="KaiTi"/>
              <family val="2"/>
            </rPr>
            <t xml:space="preserve">其他业务（光组件</t>
          </r>
          <r>
            <rPr>
              <b/>
              <sz val="12"/>
              <rFont val="Arial"/>
              <family val="2"/>
            </rPr>
            <t xml:space="preserve">/</t>
          </r>
          <r>
            <rPr>
              <b/>
              <sz val="12"/>
              <rFont val="KaiTi"/>
              <family val="2"/>
            </rPr>
            <t xml:space="preserve">汽车光电子）产销存（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9" s="31"/>
      <c r="C29" s="31"/>
      <c r="D29" s="31"/>
      <c r="E29" s="31"/>
      <c r="F29" s="31"/>
      <c r="G29" s="31"/>
    </row>
    <row r="30" ht="36" customHeight="1">
      <c r="A3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年（万只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件）</t>
          </r>
        </is>
      </c>
      <c r="C3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年（万只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件）</t>
          </r>
        </is>
      </c>
      <c r="D30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其他销售量</t>
          </r>
        </is>
      </c>
      <c r="B31" s="25">
        <v>3424.0</v>
      </c>
      <c r="C31" s="25">
        <v>5782.0</v>
      </c>
      <c r="D31" s="28">
        <v>-0.4078</v>
      </c>
    </row>
    <row r="32" ht="20" customHeight="1">
      <c r="A32" s="31" t="inlineStr">
        <is>
          <r>
            <rPr>
              <b/>
              <sz val="12"/>
              <rFont val="KaiTi"/>
              <family val="2"/>
            </rPr>
            <t xml:space="preserve">营业成本构成（行业分类）（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2" s="31"/>
      <c r="C32" s="31"/>
      <c r="D32" s="31"/>
      <c r="E32" s="31"/>
      <c r="F32" s="31"/>
      <c r="G32" s="31"/>
    </row>
    <row r="33" ht="36" customHeight="1">
      <c r="A3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3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C33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占营业成本比重</t>
          </r>
        </is>
      </c>
      <c r="D3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上年营业成本（百万元）</t>
          </r>
        </is>
      </c>
      <c r="E3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上年占营业成本比重</t>
          </r>
        </is>
      </c>
      <c r="F33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34" s="22">
        <v>21497.62234511</v>
      </c>
      <c r="C34" s="28">
        <v>0.9699</v>
      </c>
      <c r="D34" s="22">
        <v>14956.34182147</v>
      </c>
      <c r="E34" s="28">
        <v>0.9468000000000001</v>
      </c>
      <c r="F34" s="28">
        <v>0.4374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35" s="22">
        <v>667.91478166</v>
      </c>
      <c r="C35" s="28">
        <v>0.0301</v>
      </c>
      <c r="D35" s="22">
        <v>839.224783</v>
      </c>
      <c r="E35" s="28">
        <v>0.053200000000000004</v>
      </c>
      <c r="F35" s="28">
        <v>-0.2041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营业收入分地区（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6" s="31"/>
      <c r="C36" s="31"/>
      <c r="D36" s="31"/>
      <c r="E36" s="31"/>
      <c r="F36" s="31"/>
      <c r="G36" s="31"/>
    </row>
    <row r="37" ht="36" customHeight="1">
      <c r="A3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7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37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占营业收入比重</t>
          </r>
        </is>
      </c>
      <c r="D3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上年营业收入（百万元）</t>
          </r>
        </is>
      </c>
      <c r="E3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上年占营业收入比重</t>
          </r>
        </is>
      </c>
      <c r="F37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境外</t>
          </r>
        </is>
      </c>
      <c r="B38" s="22">
        <v>34636.52329207</v>
      </c>
      <c r="C38" s="28">
        <v>0.9057999999999999</v>
      </c>
      <c r="D38" s="22">
        <v>20715.714496459997</v>
      </c>
      <c r="E38" s="28">
        <v>0.8681</v>
      </c>
      <c r="F38" s="28">
        <v>0.672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境内</t>
          </r>
        </is>
      </c>
      <c r="B39" s="22">
        <v>3603.4123486</v>
      </c>
      <c r="C39" s="28">
        <v>0.0942</v>
      </c>
      <c r="D39" s="22">
        <v>3146.44524191</v>
      </c>
      <c r="E39" s="28">
        <v>0.1319</v>
      </c>
      <c r="F39" s="28">
        <v>0.1452</v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营业收入分销售模式（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0" s="31"/>
      <c r="C40" s="31"/>
      <c r="D40" s="31"/>
      <c r="E40" s="31"/>
      <c r="F40" s="31"/>
      <c r="G40" s="31"/>
    </row>
    <row r="41" ht="36" customHeight="1">
      <c r="A4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41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占营业收入比重</t>
          </r>
        </is>
      </c>
      <c r="D4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上年营业收入（百万元）</t>
          </r>
        </is>
      </c>
      <c r="E4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上年占营业收入比重</t>
          </r>
        </is>
      </c>
      <c r="F4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直销</t>
          </r>
        </is>
      </c>
      <c r="B42" s="22">
        <v>37738.95111382</v>
      </c>
      <c r="C42" s="28">
        <v>0.9869</v>
      </c>
      <c r="D42" s="22">
        <v>23500.87380886</v>
      </c>
      <c r="E42" s="28">
        <v>0.9849</v>
      </c>
      <c r="F42" s="28">
        <v>0.6059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渠道</t>
          </r>
        </is>
      </c>
      <c r="B43" s="22">
        <v>500.98452685</v>
      </c>
      <c r="C43" s="28">
        <v>0.0131</v>
      </c>
      <c r="D43" s="22">
        <v>361.28592951</v>
      </c>
      <c r="E43" s="28">
        <v>0.0151</v>
      </c>
      <c r="F43" s="28">
        <v>0.38670000000000004</v>
      </c>
    </row>
    <row r="44" ht="20" customHeight="1">
      <c r="A44" s="31" t="inlineStr">
        <is>
          <r>
            <rPr>
              <b/>
              <sz val="12"/>
              <rFont val="KaiTi"/>
              <family val="2"/>
            </rPr>
            <t xml:space="preserve">光通信收发模块境外销售（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4" s="31"/>
      <c r="C44" s="31"/>
      <c r="D44" s="31"/>
      <c r="E44" s="31"/>
      <c r="F44" s="31"/>
      <c r="G44" s="31"/>
    </row>
    <row r="45" ht="36" customHeight="1">
      <c r="A4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5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销售量（万只）</t>
          </r>
        </is>
      </c>
      <c r="C45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销售收入（百万元）</t>
          </r>
        </is>
      </c>
      <c r="D45" s="3" t="inlineStr">
        <is>
          <r>
            <rPr>
              <b/>
              <sz val="12"/>
              <color rgb="FFFFFFFF"/>
              <rFont val="KaiTi"/>
              <family val="2"/>
            </rPr>
            <t xml:space="preserve">回款率</t>
          </r>
        </is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光通信收发模块境外</t>
          </r>
        </is>
      </c>
      <c r="B46" s="25">
        <v>1812.0</v>
      </c>
      <c r="C46" s="22">
        <v>34613.665877</v>
      </c>
      <c r="D46" s="28">
        <v>0.98</v>
      </c>
    </row>
    <row r="47" ht="20" customHeight="1">
      <c r="A47" s="31" t="inlineStr">
        <is>
          <r>
            <rPr>
              <b/>
              <sz val="12"/>
              <rFont val="KaiTi"/>
              <family val="2"/>
            </rPr>
            <t xml:space="preserve">前五名客户（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7" s="31"/>
      <c r="C47" s="31"/>
      <c r="D47" s="31"/>
      <c r="E47" s="31"/>
      <c r="F47" s="31"/>
      <c r="G47" s="31"/>
    </row>
    <row r="48" ht="36" customHeight="1">
      <c r="A4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8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销售额（百万元）</t>
          </r>
        </is>
      </c>
      <c r="C48" s="3" t="inlineStr">
        <is>
          <r>
            <rPr>
              <b/>
              <sz val="12"/>
              <color rgb="FFFFFFFF"/>
              <rFont val="KaiTi"/>
              <family val="2"/>
            </rPr>
            <t xml:space="preserve">占年度销售总额比例</t>
          </r>
        </is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A</t>
          </r>
        </is>
      </c>
      <c r="B49" s="22">
        <v>9201.49575591</v>
      </c>
      <c r="C49" s="28">
        <v>0.24059999999999998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B</t>
          </r>
        </is>
      </c>
      <c r="B50" s="22">
        <v>6981.20220821</v>
      </c>
      <c r="C50" s="28">
        <v>0.1826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C</t>
          </r>
        </is>
      </c>
      <c r="B51" s="22">
        <v>5438.189570590001</v>
      </c>
      <c r="C51" s="28">
        <v>0.1422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D</t>
          </r>
        </is>
      </c>
      <c r="B52" s="22">
        <v>4337.9024964</v>
      </c>
      <c r="C52" s="28">
        <v>0.1134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E</t>
          </r>
        </is>
      </c>
      <c r="B53" s="22">
        <v>3096.78076922</v>
      </c>
      <c r="C53" s="28">
        <v>0.081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前五名客户合计</t>
          </r>
        </is>
      </c>
      <c r="B54" s="22">
        <v>29055.570800330002</v>
      </c>
      <c r="C54" s="28">
        <v>0.7598</v>
      </c>
    </row>
    <row r="55" ht="20" customHeight="1">
      <c r="A55" s="31" t="inlineStr">
        <is>
          <r>
            <rPr>
              <b/>
              <sz val="12"/>
              <rFont val="KaiTi"/>
              <family val="2"/>
            </rPr>
            <t xml:space="preserve">前五名供应商（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5" s="31"/>
      <c r="C55" s="31"/>
      <c r="D55" s="31"/>
      <c r="E55" s="31"/>
      <c r="F55" s="31"/>
      <c r="G55" s="31"/>
    </row>
    <row r="56" ht="36" customHeight="1">
      <c r="A5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6" s="3" t="inlineStr">
        <is>
          <r>
            <rPr>
              <b/>
              <sz val="12"/>
              <color rgb="FFFFFFFF"/>
              <rFont val="KaiTi"/>
              <family val="2"/>
            </rPr>
            <t xml:space="preserve">采购额（百万元）</t>
          </r>
        </is>
      </c>
      <c r="C56" s="3" t="inlineStr">
        <is>
          <r>
            <rPr>
              <b/>
              <sz val="12"/>
              <color rgb="FFFFFFFF"/>
              <rFont val="KaiTi"/>
              <family val="2"/>
            </rPr>
            <t xml:space="preserve">占年度采购总额比例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供应商</t>
          </r>
          <r>
            <rPr>
              <sz val="12"/>
              <rFont val="Arial"/>
              <family val="2"/>
            </rPr>
            <t xml:space="preserve">A</t>
          </r>
        </is>
      </c>
      <c r="B57" s="22">
        <v>8885.926791459999</v>
      </c>
      <c r="C57" s="28">
        <v>0.3576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前五名供应商合计</t>
          </r>
        </is>
      </c>
      <c r="B58" s="22">
        <v>12796.800648870001</v>
      </c>
      <c r="C58" s="28">
        <v>0.515</v>
      </c>
    </row>
    <row r="59" ht="20" customHeight="1">
      <c r="A59" s="31" t="inlineStr">
        <is>
          <r>
            <rPr>
              <b/>
              <sz val="12"/>
              <rFont val="KaiTi"/>
              <family val="2"/>
            </rPr>
            <t xml:space="preserve">研发投入（</t>
          </r>
          <r>
            <rPr>
              <b/>
              <sz val="12"/>
              <rFont val="Arial"/>
              <family val="2"/>
            </rPr>
            <t xml:space="preserve">p.27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9" s="31"/>
      <c r="C59" s="31"/>
      <c r="D59" s="31"/>
      <c r="E59" s="31"/>
      <c r="F59" s="31"/>
      <c r="G59" s="31"/>
    </row>
    <row r="60" ht="36" customHeight="1">
      <c r="A6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C6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D6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研发投入金额</t>
          </r>
        </is>
      </c>
      <c r="B61" s="22">
        <v>1675.9310981800002</v>
      </c>
      <c r="C61" s="22">
        <v>1332.55684275</v>
      </c>
      <c r="D61" s="22">
        <v>809.38888392</v>
      </c>
    </row>
    <row r="62" ht="20" customHeight="1">
      <c r="A62" s="31" t="inlineStr">
        <is>
          <r>
            <rPr>
              <b/>
              <sz val="12"/>
              <rFont val="KaiTi"/>
              <family val="2"/>
            </rPr>
            <t xml:space="preserve">研发投入占营业收入比例（</t>
          </r>
          <r>
            <rPr>
              <b/>
              <sz val="12"/>
              <rFont val="Arial"/>
              <family val="2"/>
            </rPr>
            <t xml:space="preserve">p.27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2" s="31"/>
      <c r="C62" s="31"/>
      <c r="D62" s="31"/>
      <c r="E62" s="31"/>
      <c r="F62" s="31"/>
      <c r="G62" s="31"/>
    </row>
    <row r="63" ht="24" customHeight="1">
      <c r="A6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C6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D6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研发投入占营业收入比例</t>
          </r>
        </is>
      </c>
      <c r="B64" s="28">
        <v>0.0438</v>
      </c>
      <c r="C64" s="28">
        <v>0.0558</v>
      </c>
      <c r="D64" s="28">
        <v>0.0755</v>
      </c>
    </row>
    <row r="65" ht="20" customHeight="1">
      <c r="A65" s="31" t="inlineStr">
        <is>
          <r>
            <rPr>
              <b/>
              <sz val="12"/>
              <rFont val="KaiTi"/>
              <family val="2"/>
            </rPr>
            <t xml:space="preserve">研发人员（</t>
          </r>
          <r>
            <rPr>
              <b/>
              <sz val="12"/>
              <rFont val="Arial"/>
              <family val="2"/>
            </rPr>
            <t xml:space="preserve">p.27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5" s="31"/>
      <c r="C65" s="31"/>
      <c r="D65" s="31"/>
      <c r="E65" s="31"/>
      <c r="F65" s="31"/>
      <c r="G65" s="31"/>
    </row>
    <row r="66" ht="24" customHeight="1">
      <c r="A6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年（人）</t>
          </r>
        </is>
      </c>
      <c r="C6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年（人）</t>
          </r>
        </is>
      </c>
      <c r="D66" s="3" t="inlineStr">
        <is>
          <r>
            <rPr>
              <b/>
              <sz val="12"/>
              <color rgb="FFFFFFFF"/>
              <rFont val="KaiTi"/>
              <family val="2"/>
            </rPr>
            <t xml:space="preserve">变动比例</t>
          </r>
        </is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研发人员数量</t>
          </r>
        </is>
      </c>
      <c r="B67" s="48">
        <v>2169.0</v>
      </c>
      <c r="C67" s="48">
        <v>1453.0</v>
      </c>
      <c r="D67" s="28">
        <v>0.4928</v>
      </c>
    </row>
    <row r="68" ht="20" customHeight="1">
      <c r="A68" s="31" t="inlineStr">
        <is>
          <r>
            <rPr>
              <b/>
              <sz val="12"/>
              <rFont val="Arial"/>
              <family val="2"/>
            </rPr>
            <t xml:space="preserve">2025</t>
          </r>
          <r>
            <rPr>
              <b/>
              <sz val="12"/>
              <rFont val="KaiTi"/>
              <family val="2"/>
            </rPr>
            <t xml:space="preserve">年度利润分配（</t>
          </r>
          <r>
            <rPr>
              <b/>
              <sz val="12"/>
              <rFont val="Arial"/>
              <family val="2"/>
            </rPr>
            <t xml:space="preserve">p.49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8" s="31"/>
      <c r="C68" s="31"/>
      <c r="D68" s="31"/>
      <c r="E68" s="31"/>
      <c r="F68" s="31"/>
      <c r="G68" s="31"/>
    </row>
    <row r="69" ht="24" customHeight="1">
      <c r="A6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9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年度现金分红（每</t>
          </r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股派</t>
          </r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元）</t>
          </r>
        </is>
      </c>
      <c r="B70" s="22">
        <v>1111.118334</v>
      </c>
    </row>
    <row r="71" ht="20" customHeight="1">
      <c r="A71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年半年度现金分红（每</t>
          </r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股派</t>
          </r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元）</t>
          </r>
        </is>
      </c>
      <c r="B71" s="22">
        <v>444.44733360000004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年度累计现金分红</t>
          </r>
        </is>
      </c>
      <c r="B72" s="22">
        <v>1555.5656675999999</v>
      </c>
    </row>
    <row r="73" ht="20" customHeight="1">
      <c r="A73" s="31" t="inlineStr">
        <is>
          <r>
            <rPr>
              <b/>
              <sz val="12"/>
              <rFont val="KaiTi"/>
              <family val="2"/>
            </rPr>
            <t xml:space="preserve">在建工程与长期资产变动（</t>
          </r>
          <r>
            <rPr>
              <b/>
              <sz val="12"/>
              <rFont val="Arial"/>
              <family val="2"/>
            </rPr>
            <t xml:space="preserve">p.29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3" s="31"/>
      <c r="C73" s="31"/>
      <c r="D73" s="31"/>
      <c r="E73" s="31"/>
      <c r="F73" s="31"/>
      <c r="G73" s="31"/>
    </row>
    <row r="74" ht="36" customHeight="1">
      <c r="A7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4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年末（百万元）</t>
          </r>
        </is>
      </c>
      <c r="C74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年初（百万元）</t>
          </r>
        </is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在建工程（资产构成表）</t>
          </r>
        </is>
      </c>
      <c r="B75" s="22">
        <v>1421.93738737</v>
      </c>
      <c r="C75" s="22">
        <v>52.537004</v>
      </c>
    </row>
    <row r="76" ht="20" customHeight="1">
      <c r="A76" s="31" t="inlineStr">
        <is>
          <r>
            <rPr>
              <b/>
              <sz val="12"/>
              <rFont val="KaiTi"/>
              <family val="2"/>
            </rPr>
            <t xml:space="preserve">现金流量表补充资料：营运资本变动（</t>
          </r>
          <r>
            <rPr>
              <b/>
              <sz val="12"/>
              <rFont val="Arial"/>
              <family val="2"/>
            </rPr>
            <t xml:space="preserve">p.191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6" s="31"/>
      <c r="C76" s="31"/>
      <c r="D76" s="31"/>
      <c r="E76" s="31"/>
      <c r="F76" s="31"/>
      <c r="G76" s="31"/>
    </row>
    <row r="77" ht="36" customHeight="1">
      <c r="A7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C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存货的减少</t>
          </r>
        </is>
      </c>
      <c r="B78" s="22">
        <v>-5810.932068319999</v>
      </c>
      <c r="C78" s="22">
        <v>-2835.24036649</v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经营性应收项目的减少</t>
          </r>
        </is>
      </c>
      <c r="B79" s="22">
        <v>-1763.47094593</v>
      </c>
      <c r="C79" s="22">
        <v>-1817.23898707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经营性应付项目的增加</t>
          </r>
        </is>
      </c>
      <c r="B80" s="22">
        <v>5545.08050537</v>
      </c>
      <c r="C80" s="22">
        <v>1458.19701678</v>
      </c>
    </row>
    <row r="81" ht="20" customHeight="1">
      <c r="A81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81" s="31"/>
      <c r="C81" s="31"/>
      <c r="D81" s="31"/>
      <c r="E81" s="31"/>
      <c r="F81" s="31"/>
      <c r="G81" s="31"/>
    </row>
    <row r="82" ht="24" customHeight="1">
      <c r="A82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82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8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83" ht="20" customHeight="1">
      <c r="A83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年光模块单只均价</t>
          </r>
        </is>
      </c>
      <c r="B83" s="25">
        <v>1776.032183304884</v>
      </c>
      <c r="C83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只</t>
          </r>
        </is>
      </c>
    </row>
    <row r="84" ht="20" customHeight="1">
      <c r="A84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年光模块单只均价</t>
          </r>
        </is>
      </c>
      <c r="B84" s="25">
        <v>1568.5919621610692</v>
      </c>
      <c r="C84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只</t>
          </r>
        </is>
      </c>
    </row>
    <row r="85" ht="20" customHeight="1">
      <c r="A85" s="12" t="inlineStr">
        <is>
          <r>
            <rPr>
              <sz val="12"/>
              <rFont val="KaiTi"/>
              <family val="2"/>
            </rPr>
            <t xml:space="preserve">光模块单只均价同比</t>
          </r>
        </is>
      </c>
      <c r="B85" s="28">
        <v>0.1322461329318696</v>
      </c>
      <c r="C85" s="12" t="inlineStr">
        <is>
          <t xml:space="preserve">%</t>
        </is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光模块销量同比</t>
          </r>
        </is>
      </c>
      <c r="B86" s="13">
        <f>D18/D19</f>
        <v>0.4455106237148732</v>
      </c>
      <c r="C86" s="12" t="inlineStr">
        <is>
          <t xml:space="preserve">%</t>
        </is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光模块产能同比</t>
          </r>
        </is>
      </c>
      <c r="B87" s="13">
        <f>B18/B19</f>
        <v>0.3438697318007662</v>
      </c>
      <c r="C87" s="12" t="inlineStr">
        <is>
          <t xml:space="preserve">%</t>
        </is>
      </c>
    </row>
    <row r="88" ht="20" customHeight="1">
      <c r="A88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年光模块产能利用率</t>
          </r>
        </is>
      </c>
      <c r="B88" s="13">
        <f>C18/B18</f>
        <v>0.8467569493941554</v>
      </c>
      <c r="C88" s="12" t="inlineStr">
        <is>
          <t xml:space="preserve">%</t>
        </is>
      </c>
    </row>
    <row r="89" ht="20" customHeight="1">
      <c r="A89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年光模块产能利用率</t>
          </r>
        </is>
      </c>
      <c r="B89" s="13">
        <f>C19/B19</f>
        <v>0.735632183908046</v>
      </c>
      <c r="C89" s="12" t="inlineStr">
        <is>
          <t xml:space="preserve">%</t>
        </is>
      </c>
    </row>
    <row r="90" ht="20" customHeight="1">
      <c r="A90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年光模块产销率</t>
          </r>
        </is>
      </c>
      <c r="B90" s="13">
        <f>D18/C18</f>
        <v>0.8876262626262627</v>
      </c>
      <c r="C90" s="12" t="inlineStr">
        <is>
          <t xml:space="preserve">%</t>
        </is>
      </c>
    </row>
    <row r="91" ht="20" customHeight="1">
      <c r="A91" s="12" t="inlineStr">
        <is>
          <r>
            <rPr>
              <sz val="12"/>
              <rFont val="KaiTi"/>
              <family val="2"/>
            </rPr>
            <t xml:space="preserve">光模块毛利率变动</t>
          </r>
        </is>
      </c>
      <c r="B91" s="25">
        <v>7.960000000000001</v>
      </c>
      <c r="C91" s="12" t="inlineStr">
        <is>
          <t xml:space="preserve">pp</t>
        </is>
      </c>
    </row>
    <row r="92" ht="20" customHeight="1">
      <c r="A92" s="12" t="inlineStr">
        <is>
          <r>
            <rPr>
              <sz val="12"/>
              <rFont val="KaiTi"/>
              <family val="2"/>
            </rPr>
            <t xml:space="preserve">境外收入占比变动</t>
          </r>
        </is>
      </c>
      <c r="B92" s="25">
        <v>3.769999999999996</v>
      </c>
      <c r="C92" s="12" t="inlineStr">
        <is>
          <t xml:space="preserve">pp</t>
        </is>
      </c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境外销量占光模块销量比例</t>
          </r>
        </is>
      </c>
      <c r="B93" s="13">
        <f>B46/D18</f>
        <v>0.8591749644381224</v>
      </c>
      <c r="C93" s="12" t="inlineStr">
        <is>
          <t xml:space="preserve">%</t>
        </is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第一大客户占比</t>
          </r>
        </is>
      </c>
      <c r="B94" s="28">
        <v>0.24062529399562507</v>
      </c>
      <c r="C94" s="12" t="inlineStr">
        <is>
          <t xml:space="preserve">%</t>
        </is>
      </c>
    </row>
    <row r="95" ht="20" customHeight="1">
      <c r="A95" s="12" t="inlineStr">
        <is>
          <r>
            <rPr>
              <sz val="12"/>
              <rFont val="KaiTi"/>
              <family val="2"/>
            </rPr>
            <t xml:space="preserve">研发投入同比</t>
          </r>
        </is>
      </c>
      <c r="B95" s="13">
        <f>B61/C61</f>
        <v>0.25768075658324485</v>
      </c>
      <c r="C95" s="12" t="inlineStr">
        <is>
          <t xml:space="preserve">%</t>
        </is>
      </c>
    </row>
    <row r="96" ht="20" customHeight="1">
      <c r="A96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年现金分红率</t>
          </r>
        </is>
      </c>
      <c r="B96" s="28">
        <v>0.14407048535803849</v>
      </c>
      <c r="C96" s="12" t="inlineStr">
        <is>
          <t xml:space="preserve">%</t>
        </is>
      </c>
    </row>
    <row r="97" ht="20" customHeight="1">
      <c r="A97" s="12" t="inlineStr">
        <is>
          <r>
            <rPr>
              <sz val="12"/>
              <rFont val="KaiTi"/>
              <family val="2"/>
            </rPr>
            <t xml:space="preserve">存货增加占营业收入比例</t>
          </r>
        </is>
      </c>
      <c r="B97" s="28">
        <v>-0.1519597763689695</v>
      </c>
      <c r="C97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77.1%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9.94%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3.00%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7.28e-12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