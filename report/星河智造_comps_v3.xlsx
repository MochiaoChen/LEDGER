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摘要" sheetId="1" r:id="rId1"/>
    <sheet name="说明" sheetId="2" r:id="rId2"/>
    <sheet name="同业数据" sheetId="3" r:id="rId3"/>
    <sheet name="倍数" sheetId="4" r:id="rId4"/>
    <sheet name="统计" sheetId="5" r:id="rId5"/>
    <sheet name="隐含股价" sheetId="6" r:id="rId6"/>
    <sheet name="敏感性" sheetId="7" r:id="rId7"/>
    <sheet name="来源台账" sheetId="8" r:id="rId8"/>
    <sheet name="利润率对比" sheetId="9" r:id="rId9"/>
  </sheets>
  <calcPr fullCalcOnLoad="1"/>
</workbook>
</file>

<file path=xl/styles.xml><?xml version="1.0" encoding="utf-8"?>
<styleSheet xmlns="http://schemas.openxmlformats.org/spreadsheetml/2006/main">
  <numFmts count="8">
    <numFmt numFmtId="164" formatCode="#,##0.00_);(#,##0.00);&quot;-&quot;_)"/>
    <numFmt numFmtId="165" formatCode="0.0%_);(0.0%);&quot;-&quot;_)"/>
    <numFmt numFmtId="166" formatCode="0.0&quot;x&quot;_);(0.0&quot;x&quot;);&quot;-&quot;_)"/>
    <numFmt numFmtId="167" formatCode="+0.0&quot; pp&quot;;-0.0&quot; pp&quot;;&quot;-&quot;"/>
    <numFmt numFmtId="168" formatCode="#,##0.0_);(#,##0.0);&quot;-&quot;_)"/>
    <numFmt numFmtId="169" formatCode="#,##0_);(#,##0);&quot;-&quot;_)"/>
    <numFmt numFmtId="170" formatCode="#,##0_);(#,##0);&quot;0&quot;_)"/>
    <numFmt numFmtId="171" formatCode="+0.0%;-0.0%;0.0%"/>
  </numFmts>
  <fonts count="9">
    <font>
      <sz val="10"/>
      <name val="Arial"/>
      <family val="2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8000"/>
      <name val="KaiTi"/>
      <family val="2"/>
    </font>
    <font>
      <sz val="10"/>
      <name val="KaiTi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 wrapText="1"/>
    </xf>
    <xf numFmtId="164" fontId="4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166" fontId="4" fillId="0" borderId="3" xfId="0" applyNumberFormat="1" applyFont="1" applyFill="1" applyBorder="1" applyAlignment="1">
      <alignment horizontal="right" vertical="center"/>
    </xf>
    <xf numFmtId="165" fontId="4" fillId="0" borderId="3" xfId="0" applyNumberFormat="1" applyFont="1" applyFill="1" applyBorder="1" applyAlignment="1">
      <alignment horizontal="right" vertical="center"/>
    </xf>
    <xf numFmtId="167" fontId="4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164" fontId="5" fillId="3" borderId="4" xfId="0" applyNumberFormat="1" applyFont="1" applyFill="1" applyBorder="1" applyAlignment="1">
      <alignment horizontal="right" vertical="center"/>
    </xf>
    <xf numFmtId="168" fontId="5" fillId="3" borderId="4" xfId="0" applyNumberFormat="1" applyFont="1" applyFill="1" applyBorder="1" applyAlignment="1">
      <alignment horizontal="right" vertical="center"/>
    </xf>
    <xf numFmtId="164" fontId="5" fillId="0" borderId="3" xfId="0" applyNumberFormat="1" applyFont="1" applyFill="1" applyBorder="1" applyAlignment="1">
      <alignment horizontal="right" vertical="center"/>
    </xf>
    <xf numFmtId="168" fontId="5" fillId="0" borderId="3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69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69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left" vertical="center"/>
    </xf>
    <xf numFmtId="170" fontId="0" fillId="0" borderId="3" xfId="0" applyNumberFormat="1" applyFont="1" applyFill="1" applyBorder="1" applyAlignment="1">
      <alignment horizontal="right" vertical="center"/>
    </xf>
    <xf numFmtId="166" fontId="4" fillId="3" borderId="4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8" fontId="4" fillId="0" borderId="3" xfId="0" applyNumberFormat="1" applyFont="1" applyFill="1" applyBorder="1" applyAlignment="1">
      <alignment horizontal="right" vertical="center"/>
    </xf>
    <xf numFmtId="170" fontId="4" fillId="0" borderId="3" xfId="0" applyNumberFormat="1" applyFont="1" applyFill="1" applyBorder="1" applyAlignment="1">
      <alignment horizontal="right" vertical="center"/>
    </xf>
    <xf numFmtId="164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164" fontId="0" fillId="3" borderId="4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left" vertical="center"/>
    </xf>
    <xf numFmtId="171" fontId="0" fillId="0" borderId="3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right" vertical="center" wrapText="1"/>
    </xf>
    <xf numFmtId="0" fontId="6" fillId="0" borderId="3" xfId="0" applyFont="1" applyFill="1" applyBorder="1" applyAlignment="1">
      <alignment horizontal="left" vertical="center" wrapText="1"/>
    </xf>
    <xf numFmtId="168" fontId="0" fillId="3" borderId="4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zh-CN" sz="1100" b="1"/>
              <a:t>当前股价与估值区间（元）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股价 / 每股价值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'估值摘要'!$B$5:$E$5</c:f>
            </c:strRef>
          </c:cat>
          <c:val>
            <c:numRef>
              <c:f>'估值摘要'!$B$6:$E$6</c:f>
            </c:numRef>
          </c:val>
        </c:ser>
        <c:axId val="100002"/>
        <c:axId val="100003"/>
      </c:barChart>
      <c:catAx>
        <c:axId val="100002"/>
        <c:scaling>
          <c:orientation val="minMax"/>
        </c:scaling>
        <c:axPos val="b"/>
        <c:tickLblPos val="nextTo"/>
        <c:crossAx val="100003"/>
        <c:crosses val="autoZero"/>
        <c:auto val="1"/>
        <c:lblAlgn val="ctr"/>
        <c:lblOffset val="100"/>
      </c:catAx>
      <c:valAx>
        <c:axId val="100003"/>
        <c:scaling>
          <c:orientation val="minMax"/>
        </c:scaling>
        <c:axPos val="l"/>
        <c:numFmt formatCode="0.00" sourceLinked="0"/>
        <c:majorGridlines/>
        <c:tickLblPos val="nextTo"/>
        <c:crossAx val="10000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zh-CN" sz="1100" b="1"/>
              <a:t>目标公司与核心同业利润率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目标公司</c:v>
          </c:tx>
          <c:spPr>
            <a:solidFill>
              <a:srgbClr val="4472C4"/>
            </a:solidFill>
            <a:ln>
              <a:noFill/>
            </a:ln>
          </c:spPr>
          <c:cat>
            <c:strRef>
              <c:f>'估值摘要'!$A$15:$A$17</c:f>
            </c:strRef>
          </c:cat>
          <c:val>
            <c:numRef>
              <c:f>'估值摘要'!$B$15:$B$17</c:f>
            </c:numRef>
          </c:val>
        </c:ser>
        <c:ser>
          <c:idx val="1"/>
          <c:order val="1"/>
          <c:tx>
            <c:v>核心同业中位数</c:v>
          </c:tx>
          <c:spPr>
            <a:solidFill>
              <a:srgbClr val="A5A5A5"/>
            </a:solidFill>
            <a:ln>
              <a:noFill/>
            </a:ln>
          </c:spPr>
          <c:cat>
            <c:strRef>
              <c:f>'估值摘要'!$A$15:$A$17</c:f>
            </c:strRef>
          </c:cat>
          <c:val>
            <c:numRef>
              <c:f>'估值摘要'!$C$15:$C$17</c:f>
            </c:numRef>
          </c:val>
        </c:ser>
        <c:axId val="100004"/>
        <c:axId val="100005"/>
      </c:barChart>
      <c:catAx>
        <c:axId val="100004"/>
        <c:scaling>
          <c:orientation val="minMax"/>
        </c:scaling>
        <c:axPos val="b"/>
        <c:tickLblPos val="nextTo"/>
        <c:crossAx val="100005"/>
        <c:crosses val="autoZero"/>
        <c:auto val="1"/>
        <c:lblAlgn val="ctr"/>
        <c:lblOffset val="100"/>
      </c:catAx>
      <c:valAx>
        <c:axId val="100005"/>
        <c:scaling>
          <c:orientation val="minMax"/>
        </c:scaling>
        <c:axPos val="l"/>
        <c:numFmt formatCode="0.0%" sourceLinked="0"/>
        <c:majorGridlines/>
        <c:tickLblPos val="nextTo"/>
        <c:crossAx val="1000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13</xdr:row>
      <xdr:rowOff>0</xdr:rowOff>
    </xdr:to>
    <xdr:graphicFrame macro="">
      <xdr:nvGraphicFramePr>
        <xdr:cNvPr id="2" name="图表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3" name="图表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sheetViews>
    <sheetView showGridLines="0" zoomScale="90" workbookViewId="0"/>
  </sheetViews>
  <sheetFormatPr defaultRowHeight="16"/>
  <cols>
    <col min="1" max="1" width="28.0" customWidth="1"/>
    <col min="2" max="2" width="17.0" customWidth="1"/>
    <col min="3" max="3" width="17.0" customWidth="1"/>
    <col min="4" max="4" width="22.0" customWidth="1"/>
    <col min="5" max="5" width="17.0" customWidth="1"/>
    <col min="6" max="6" width="20.0" customWidth="1"/>
  </cols>
  <sheetData>
    <row r="1" ht="22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可比公司估值摘要</t>
          </r>
        </is>
      </c>
    </row>
    <row r="2">
      <c r="A2" s="2" t="inlineStr">
        <is>
          <r>
            <rPr>
              <i/>
              <sz val="10"/>
              <color rgb="FF595959"/>
              <rFont val="KaiTi"/>
              <family val="2"/>
            </rPr>
            <t xml:space="preserve">星河智造（示例</t>
          </r>
          <r>
            <rPr>
              <i/>
              <sz val="10"/>
              <color rgb="FF595959"/>
              <rFont val="Arial"/>
              <family val="2"/>
            </rPr>
            <t xml:space="preserve">000000</t>
          </r>
          <r>
            <rPr>
              <i/>
              <sz val="10"/>
              <color rgb="FF595959"/>
              <rFont val="KaiTi"/>
              <family val="2"/>
            </rPr>
            <t xml:space="preserve">）</t>
          </r>
        </is>
      </c>
      <c r="B2" s="3" t="inlineStr">
        <is>
          <r>
            <rPr>
              <i/>
              <sz val="10"/>
              <color rgb="FF595959"/>
              <rFont val="KaiTi"/>
              <family val="2"/>
            </rPr>
            <t xml:space="preserve">估值日：</t>
          </r>
          <r>
            <rPr>
              <i/>
              <sz val="10"/>
              <color rgb="FF595959"/>
              <rFont val="Arial"/>
              <family val="2"/>
            </rPr>
            <t xml:space="preserve">2025-04-30</t>
          </r>
        </is>
      </c>
      <c r="C2" s="3" t="inlineStr">
        <is>
          <r>
            <rPr>
              <i/>
              <sz val="10"/>
              <color rgb="FF595959"/>
              <rFont val="KaiTi"/>
              <family val="2"/>
            </rPr>
            <t xml:space="preserve">币种：</t>
          </r>
          <r>
            <rPr>
              <i/>
              <sz val="10"/>
              <color rgb="FF595959"/>
              <rFont val="Arial"/>
              <family val="2"/>
            </rPr>
            <t xml:space="preserve">CNY</t>
          </r>
        </is>
      </c>
    </row>
    <row r="3">
      <c r="A3" s="2" t="inlineStr">
        <is>
          <r>
            <rPr>
              <i/>
              <sz val="10"/>
              <color rgb="FF595959"/>
              <rFont val="KaiTi"/>
              <family val="2"/>
            </rPr>
            <t xml:space="preserve">虚构样例：仅用于演示模型结构与公式联动，不构成投资建议；正式研究必须替换为真实同业、市场数据与可追溯来源。</t>
          </r>
        </is>
      </c>
    </row>
    <row r="4" ht="16" customHeight="1"/>
    <row r="5" ht="20" customHeight="1">
      <c r="A5" s="4" t="inlineStr">
        <is>
          <r>
            <rPr>
              <b/>
              <sz val="10"/>
              <color rgb="FFFFFFFF"/>
              <rFont val="KaiTi"/>
              <family val="2"/>
            </rPr>
            <t xml:space="preserve">目标公司</t>
          </r>
        </is>
      </c>
      <c r="B5" s="5" t="inlineStr">
        <is>
          <r>
            <rPr>
              <b/>
              <sz val="10"/>
              <color rgb="FFFFFFFF"/>
              <rFont val="KaiTi"/>
              <family val="2"/>
            </rPr>
            <t xml:space="preserve">当前股价</t>
          </r>
        </is>
      </c>
      <c r="C5" s="5" t="inlineStr">
        <is>
          <r>
            <rPr>
              <b/>
              <sz val="10"/>
              <color rgb="FFFFFFFF"/>
              <rFont val="KaiTi"/>
              <family val="2"/>
            </rPr>
            <t xml:space="preserve">区间低</t>
          </r>
        </is>
      </c>
      <c r="D5" s="5" t="inlineStr">
        <is>
          <r>
            <rPr>
              <b/>
              <sz val="10"/>
              <color rgb="FFFFFFFF"/>
              <rFont val="KaiTi"/>
              <family val="2"/>
            </rPr>
            <t xml:space="preserve">区间中枢</t>
          </r>
        </is>
      </c>
      <c r="E5" s="5" t="inlineStr">
        <is>
          <r>
            <rPr>
              <b/>
              <sz val="10"/>
              <color rgb="FFFFFFFF"/>
              <rFont val="KaiTi"/>
              <family val="2"/>
            </rPr>
            <t xml:space="preserve">区间高</t>
          </r>
        </is>
      </c>
      <c r="F5" s="5" t="inlineStr">
        <is>
          <r>
            <rPr>
              <b/>
              <sz val="10"/>
              <color rgb="FFFFFFFF"/>
              <rFont val="KaiTi"/>
              <family val="2"/>
            </rPr>
            <t xml:space="preserve">中枢上涨空间</t>
          </r>
        </is>
      </c>
    </row>
    <row r="6">
      <c r="A6" s="6" t="inlineStr">
        <is>
          <r>
            <rPr>
              <sz val="10"/>
              <rFont val="KaiTi"/>
              <family val="2"/>
            </rPr>
            <t xml:space="preserve">星河智造</t>
          </r>
        </is>
      </c>
      <c r="B6" s="7">
        <f>同业数据!D2</f>
        <v>12.8</v>
      </c>
      <c r="C6" s="7">
        <f>隐含股价!B9</f>
        <v>13.0999575</v>
      </c>
      <c r="D6" s="7">
        <f>隐含股价!C9</f>
        <v>14.966529315448659</v>
      </c>
      <c r="E6" s="7">
        <f>隐含股价!D9</f>
        <v>17.356700581395348</v>
      </c>
      <c r="F6" s="8">
        <f>IF(AND(ISNUMBER(D6),ISNUMBER(B6),B6&lt;&gt;0),D6/B6-1,"")</f>
        <v>0.1692601027694265</v>
      </c>
    </row>
    <row r="7" ht="16" customHeight="1"/>
    <row r="8" ht="20" customHeight="1">
      <c r="A8" s="4" t="inlineStr">
        <is>
          <r>
            <rPr>
              <b/>
              <sz val="10"/>
              <color rgb="FFFFFFFF"/>
              <rFont val="KaiTi"/>
              <family val="2"/>
            </rPr>
            <t xml:space="preserve">核心倍数与溢价</t>
          </r>
          <r>
            <rPr>
              <b/>
              <sz val="10"/>
              <color rgb="FFFFFFFF"/>
              <rFont val="Arial"/>
              <family val="2"/>
            </rPr>
            <t xml:space="preserve">/</t>
          </r>
          <r>
            <rPr>
              <b/>
              <sz val="10"/>
              <color rgb="FFFFFFFF"/>
              <rFont val="KaiTi"/>
              <family val="2"/>
            </rPr>
            <t xml:space="preserve">折价</t>
          </r>
        </is>
      </c>
      <c r="B8" s="5" t="inlineStr">
        <is>
          <r>
            <rPr>
              <b/>
              <sz val="10"/>
              <color rgb="FFFFFFFF"/>
              <rFont val="KaiTi"/>
              <family val="2"/>
            </rPr>
            <t xml:space="preserve">核心中位数</t>
          </r>
        </is>
      </c>
      <c r="C8" s="5" t="inlineStr">
        <is>
          <r>
            <rPr>
              <b/>
              <sz val="10"/>
              <color rgb="FFFFFFFF"/>
              <rFont val="KaiTi"/>
              <family val="2"/>
            </rPr>
            <t xml:space="preserve">目标公司</t>
          </r>
        </is>
      </c>
      <c r="D8" s="5" t="inlineStr">
        <is>
          <r>
            <rPr>
              <b/>
              <sz val="10"/>
              <color rgb="FFFFFFFF"/>
              <rFont val="KaiTi"/>
              <family val="2"/>
            </rPr>
            <t xml:space="preserve">目标相对核心中位数</t>
          </r>
        </is>
      </c>
    </row>
    <row r="9">
      <c r="A9" s="9" t="inlineStr">
        <is>
          <r>
            <rPr>
              <sz val="10"/>
              <rFont val="Arial"/>
              <family val="2"/>
            </rPr>
            <t xml:space="preserve">EV/</t>
          </r>
          <r>
            <rPr>
              <sz val="10"/>
              <rFont val="KaiTi"/>
              <family val="2"/>
            </rPr>
            <t xml:space="preserve">营业收入</t>
          </r>
        </is>
      </c>
      <c r="B9" s="10">
        <f>统计!B3</f>
        <v>2.1458333333333335</v>
      </c>
      <c r="C9" s="10">
        <f>统计!B15</f>
        <v>1.8587457852986398</v>
      </c>
      <c r="D9" s="11">
        <f>统计!B16</f>
        <v>-0.13378837189966308</v>
      </c>
    </row>
    <row r="10">
      <c r="A10" s="9" t="inlineStr">
        <is>
          <t xml:space="preserve">EV/EBITDA</t>
        </is>
      </c>
      <c r="B10" s="10">
        <f>统计!C3</f>
        <v>11.547826086956523</v>
      </c>
      <c r="C10" s="10">
        <f>统计!C15</f>
        <v>10.078059969293944</v>
      </c>
      <c r="D10" s="11">
        <f>统计!C16</f>
        <v>-0.12727643338192507</v>
      </c>
    </row>
    <row r="11">
      <c r="A11" s="9" t="inlineStr">
        <is>
          <t xml:space="preserve">EV/EBIT</t>
        </is>
      </c>
      <c r="B11" s="10">
        <f>统计!D3</f>
        <v>14.9375</v>
      </c>
      <c r="C11" s="10">
        <f>统计!D15</f>
        <v>14.710821903013281</v>
      </c>
      <c r="D11" s="11">
        <f>统计!D16</f>
        <v>-0.015175102727144396</v>
      </c>
    </row>
    <row r="12">
      <c r="A12" s="9" t="inlineStr">
        <is>
          <r>
            <rPr>
              <sz val="10"/>
              <rFont val="Arial"/>
              <family val="2"/>
            </rPr>
            <t xml:space="preserve">P/E</t>
          </r>
          <r>
            <rPr>
              <sz val="10"/>
              <rFont val="KaiTi"/>
              <family val="2"/>
            </rPr>
            <t xml:space="preserve">（</t>
          </r>
          <r>
            <rPr>
              <sz val="10"/>
              <rFont val="Arial"/>
              <family val="2"/>
            </rPr>
            <t xml:space="preserve">LTM</t>
          </r>
          <r>
            <rPr>
              <sz val="10"/>
              <rFont val="KaiTi"/>
              <family val="2"/>
            </rPr>
            <t xml:space="preserve">）</t>
          </r>
        </is>
      </c>
      <c r="B12" s="10">
        <f>统计!E3</f>
        <v>19.78723404255319</v>
      </c>
      <c r="C12" s="10">
        <f>统计!E15</f>
        <v>16.721643424017767</v>
      </c>
      <c r="D12" s="11">
        <f>统计!E16</f>
        <v>-0.15492769792598382</v>
      </c>
    </row>
    <row r="13" ht="16" customHeight="1"/>
    <row r="14" ht="20" customHeight="1">
      <c r="A14" s="4" t="inlineStr">
        <is>
          <r>
            <rPr>
              <b/>
              <sz val="10"/>
              <color rgb="FFFFFFFF"/>
              <rFont val="KaiTi"/>
              <family val="2"/>
            </rPr>
            <t xml:space="preserve">利润率对比</t>
          </r>
        </is>
      </c>
      <c r="B14" s="5" t="inlineStr">
        <is>
          <r>
            <rPr>
              <b/>
              <sz val="10"/>
              <color rgb="FFFFFFFF"/>
              <rFont val="KaiTi"/>
              <family val="2"/>
            </rPr>
            <t xml:space="preserve">目标公司</t>
          </r>
        </is>
      </c>
      <c r="C14" s="5" t="inlineStr">
        <is>
          <r>
            <rPr>
              <b/>
              <sz val="10"/>
              <color rgb="FFFFFFFF"/>
              <rFont val="KaiTi"/>
              <family val="2"/>
            </rPr>
            <t xml:space="preserve">核心同业中位数</t>
          </r>
        </is>
      </c>
      <c r="D14" s="5" t="inlineStr">
        <is>
          <r>
            <rPr>
              <b/>
              <sz val="10"/>
              <color rgb="FFFFFFFF"/>
              <rFont val="KaiTi"/>
              <family val="2"/>
            </rPr>
            <t xml:space="preserve">差异（百分点）</t>
          </r>
        </is>
      </c>
    </row>
    <row r="15">
      <c r="A15" s="9" t="inlineStr">
        <is>
          <r>
            <rPr>
              <sz val="10"/>
              <rFont val="Arial"/>
              <family val="2"/>
            </rPr>
            <t xml:space="preserve">EBITDA </t>
          </r>
          <r>
            <rPr>
              <sz val="10"/>
              <rFont val="KaiTi"/>
              <family val="2"/>
            </rPr>
            <t xml:space="preserve">利润率</t>
          </r>
        </is>
      </c>
      <c r="B15" s="11">
        <f>利润率对比!H16</f>
        <v>0.18443488041963507</v>
      </c>
      <c r="C15" s="11">
        <f>利润率对比!H13</f>
        <v>0.2</v>
      </c>
      <c r="D15" s="12">
        <f>利润率对比!H17</f>
        <v>-1.556511958036494</v>
      </c>
    </row>
    <row r="16">
      <c r="A16" s="9" t="inlineStr">
        <is>
          <r>
            <rPr>
              <sz val="10"/>
              <rFont val="Arial"/>
              <family val="2"/>
            </rPr>
            <t xml:space="preserve">EBIT </t>
          </r>
          <r>
            <rPr>
              <sz val="10"/>
              <rFont val="KaiTi"/>
              <family val="2"/>
            </rPr>
            <t xml:space="preserve">利润率</t>
          </r>
        </is>
      </c>
      <c r="B16" s="11">
        <f>利润率对比!I16</f>
        <v>0.12635227301051782</v>
      </c>
      <c r="C16" s="11">
        <f>利润率对比!I13</f>
        <v>0.15609756097560976</v>
      </c>
      <c r="D16" s="12">
        <f>利润率对比!I17</f>
        <v>-2.974528796509193</v>
      </c>
    </row>
    <row r="17">
      <c r="A17" s="9" t="inlineStr">
        <is>
          <r>
            <rPr>
              <sz val="10"/>
              <rFont val="KaiTi"/>
              <family val="2"/>
            </rPr>
            <t xml:space="preserve">净利率</t>
          </r>
        </is>
      </c>
      <c r="B17" s="11">
        <f>利润率对比!J16</f>
        <v>0.10445999155710783</v>
      </c>
      <c r="C17" s="11">
        <f>利润率对比!J13</f>
        <v>0.11388888888888889</v>
      </c>
      <c r="D17" s="12">
        <f>利润率对比!J17</f>
        <v>-0.9428897331781052</v>
      </c>
    </row>
  </sheetData>
  <pageMargins left="0.5" right="0.5" top="0.6" bottom="0.6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6.0" customWidth="1"/>
    <col min="2" max="2" width="110.0" customWidth="1"/>
  </cols>
  <sheetData>
    <row r="1" ht="2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项目</t>
          </r>
        </is>
      </c>
      <c r="B1" s="4" t="inlineStr">
        <is>
          <r>
            <rPr>
              <b/>
              <sz val="10"/>
              <color rgb="FFFFFFFF"/>
              <rFont val="KaiTi"/>
              <family val="2"/>
            </rPr>
            <t xml:space="preserve">内容</t>
          </r>
        </is>
      </c>
    </row>
    <row r="2">
      <c r="A2" s="13" t="inlineStr">
        <is>
          <r>
            <rPr>
              <sz val="10"/>
              <rFont val="KaiTi"/>
              <family val="2"/>
            </rPr>
            <t xml:space="preserve">目标公司</t>
          </r>
        </is>
      </c>
      <c r="B2" s="9" t="inlineStr">
        <is>
          <r>
            <rPr>
              <sz val="10"/>
              <rFont val="KaiTi"/>
              <family val="2"/>
            </rPr>
            <t xml:space="preserve">星河智造</t>
          </r>
        </is>
      </c>
    </row>
    <row r="3">
      <c r="A3" s="13" t="inlineStr">
        <is>
          <r>
            <rPr>
              <sz val="10"/>
              <rFont val="KaiTi"/>
              <family val="2"/>
            </rPr>
            <t xml:space="preserve">代码</t>
          </r>
        </is>
      </c>
      <c r="B3" s="9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000000</t>
          </r>
        </is>
      </c>
    </row>
    <row r="4">
      <c r="A4" s="13" t="inlineStr">
        <is>
          <r>
            <rPr>
              <sz val="10"/>
              <rFont val="KaiTi"/>
              <family val="2"/>
            </rPr>
            <t xml:space="preserve">估值日期</t>
          </r>
        </is>
      </c>
      <c r="B4" s="9" t="inlineStr">
        <is>
          <t xml:space="preserve">2025-04-30</t>
        </is>
      </c>
    </row>
    <row r="5">
      <c r="A5" s="13" t="inlineStr">
        <is>
          <r>
            <rPr>
              <sz val="10"/>
              <rFont val="KaiTi"/>
              <family val="2"/>
            </rPr>
            <t xml:space="preserve">币种与单位</t>
          </r>
        </is>
      </c>
      <c r="B5" s="9" t="inlineStr">
        <is>
          <r>
            <rPr>
              <sz val="10"/>
              <rFont val="Arial"/>
              <family val="2"/>
            </rPr>
            <t xml:space="preserve">CNY</t>
          </r>
          <r>
            <rPr>
              <sz val="10"/>
              <rFont val="KaiTi"/>
              <family val="2"/>
            </rPr>
            <t xml:space="preserve">；金额百万元，股本百万股，股价与每股价值元</t>
          </r>
        </is>
      </c>
    </row>
    <row r="6">
      <c r="A6" s="13" t="inlineStr">
        <is>
          <r>
            <rPr>
              <sz val="10"/>
              <rFont val="KaiTi"/>
              <family val="2"/>
            </rPr>
            <t xml:space="preserve">同业数据</t>
          </r>
        </is>
      </c>
      <c r="B6" s="9" t="inlineStr">
        <is>
          <r>
            <rPr>
              <sz val="10"/>
              <rFont val="KaiTi"/>
              <family val="2"/>
            </rPr>
            <t xml:space="preserve">输入表：第 </t>
          </r>
          <r>
            <rPr>
              <sz val="10"/>
              <rFont val="Arial"/>
              <family val="2"/>
            </rPr>
            <t xml:space="preserve">2 </t>
          </r>
          <r>
            <rPr>
              <sz val="10"/>
              <rFont val="KaiTi"/>
              <family val="2"/>
            </rPr>
            <t xml:space="preserve">行为目标公司，其余为同业；可直接修改输入，其他表公式自动重算</t>
          </r>
        </is>
      </c>
    </row>
    <row r="7">
      <c r="A7" s="13" t="inlineStr">
        <is>
          <r>
            <rPr>
              <sz val="10"/>
              <rFont val="KaiTi"/>
              <family val="2"/>
            </rPr>
            <t xml:space="preserve">倍数</t>
          </r>
        </is>
      </c>
      <c r="B7" s="9" t="inlineStr">
        <is>
          <r>
            <rPr>
              <sz val="10"/>
              <rFont val="KaiTi"/>
              <family val="2"/>
            </rPr>
            <t xml:space="preserve">股权价值 </t>
          </r>
          <r>
            <rPr>
              <sz val="10"/>
              <rFont val="Arial"/>
              <family val="2"/>
            </rPr>
            <t xml:space="preserve">= </t>
          </r>
          <r>
            <rPr>
              <sz val="10"/>
              <rFont val="KaiTi"/>
              <family val="2"/>
            </rPr>
            <t xml:space="preserve">股价 </t>
          </r>
          <r>
            <rPr>
              <sz val="10"/>
              <rFont val="Arial"/>
              <family val="2"/>
            </rPr>
            <t xml:space="preserve">× </t>
          </r>
          <r>
            <rPr>
              <sz val="10"/>
              <rFont val="KaiTi"/>
              <family val="2"/>
            </rPr>
            <t xml:space="preserve">股本；</t>
          </r>
          <r>
            <rPr>
              <sz val="10"/>
              <rFont val="Arial"/>
              <family val="2"/>
            </rPr>
            <t xml:space="preserve">EV = </t>
          </r>
          <r>
            <rPr>
              <sz val="10"/>
              <rFont val="KaiTi"/>
              <family val="2"/>
            </rPr>
            <t xml:space="preserve">股权价值 </t>
          </r>
          <r>
            <rPr>
              <sz val="10"/>
              <rFont val="Arial"/>
              <family val="2"/>
            </rPr>
            <t xml:space="preserve">+ </t>
          </r>
          <r>
            <rPr>
              <sz val="10"/>
              <rFont val="KaiTi"/>
              <family val="2"/>
            </rPr>
            <t xml:space="preserve">有息负债 </t>
          </r>
          <r>
            <rPr>
              <sz val="10"/>
              <rFont val="Arial"/>
              <family val="2"/>
            </rPr>
            <t xml:space="preserve">+ </t>
          </r>
          <r>
            <rPr>
              <sz val="10"/>
              <rFont val="KaiTi"/>
              <family val="2"/>
            </rPr>
            <t xml:space="preserve">少数股东权益 </t>
          </r>
          <r>
            <rPr>
              <sz val="10"/>
              <rFont val="Arial"/>
              <family val="2"/>
            </rPr>
            <t xml:space="preserve">− </t>
          </r>
          <r>
            <rPr>
              <sz val="10"/>
              <rFont val="KaiTi"/>
              <family val="2"/>
            </rPr>
            <t xml:space="preserve">现金 </t>
          </r>
          <r>
            <rPr>
              <sz val="10"/>
              <rFont val="Arial"/>
              <family val="2"/>
            </rPr>
            <t xml:space="preserve">− </t>
          </r>
          <r>
            <rPr>
              <sz val="10"/>
              <rFont val="KaiTi"/>
              <family val="2"/>
            </rPr>
            <t xml:space="preserve">非经营性资产；分母 </t>
          </r>
          <r>
            <rPr>
              <sz val="10"/>
              <rFont val="Arial"/>
              <family val="2"/>
            </rPr>
            <t xml:space="preserve">≤ 0 </t>
          </r>
          <r>
            <rPr>
              <sz val="10"/>
              <rFont val="KaiTi"/>
              <family val="2"/>
            </rPr>
            <t xml:space="preserve">记 </t>
          </r>
          <r>
            <rPr>
              <sz val="10"/>
              <rFont val="Arial"/>
              <family val="2"/>
            </rPr>
            <t xml:space="preserve">NM</t>
          </r>
        </is>
      </c>
    </row>
    <row r="8">
      <c r="A8" s="13" t="inlineStr">
        <is>
          <r>
            <rPr>
              <sz val="10"/>
              <rFont val="KaiTi"/>
              <family val="2"/>
            </rPr>
            <t xml:space="preserve">统计</t>
          </r>
        </is>
      </c>
      <c r="B8" s="9" t="inlineStr">
        <is>
          <r>
            <rPr>
              <sz val="10"/>
              <rFont val="KaiTi"/>
              <family val="2"/>
            </rPr>
            <t xml:space="preserve">仅核心同业（</t>
          </r>
          <r>
            <rPr>
              <sz val="10"/>
              <rFont val="Arial"/>
              <family val="2"/>
            </rPr>
            <t xml:space="preserve">Core</t>
          </r>
          <r>
            <rPr>
              <sz val="10"/>
              <rFont val="KaiTi"/>
              <family val="2"/>
            </rPr>
            <t xml:space="preserve">）；</t>
          </r>
          <r>
            <rPr>
              <sz val="10"/>
              <rFont val="Arial"/>
              <family val="2"/>
            </rPr>
            <t xml:space="preserve">P25/P75 </t>
          </r>
          <r>
            <rPr>
              <sz val="10"/>
              <rFont val="KaiTi"/>
              <family val="2"/>
            </rPr>
            <t xml:space="preserve">按 </t>
          </r>
          <r>
            <rPr>
              <sz val="10"/>
              <rFont val="Arial"/>
              <family val="2"/>
            </rPr>
            <t xml:space="preserve">QUARTILE</t>
          </r>
          <r>
            <rPr>
              <sz val="10"/>
              <rFont val="KaiTi"/>
              <family val="2"/>
            </rPr>
            <t xml:space="preserve">（与 </t>
          </r>
          <r>
            <rPr>
              <sz val="10"/>
              <rFont val="Arial"/>
              <family val="2"/>
            </rPr>
            <t xml:space="preserve">PERCENTILE.INC </t>
          </r>
          <r>
            <rPr>
              <sz val="10"/>
              <rFont val="KaiTi"/>
              <family val="2"/>
            </rPr>
            <t xml:space="preserve">一致）；样本 </t>
          </r>
          <r>
            <rPr>
              <sz val="10"/>
              <rFont val="Arial"/>
              <family val="2"/>
            </rPr>
            <t xml:space="preserve">≥ 4 </t>
          </r>
          <r>
            <rPr>
              <sz val="10"/>
              <rFont val="KaiTi"/>
              <family val="2"/>
            </rPr>
            <t xml:space="preserve">时按 </t>
          </r>
          <r>
            <rPr>
              <sz val="10"/>
              <rFont val="Arial"/>
              <family val="2"/>
            </rPr>
            <t xml:space="preserve">IQR </t>
          </r>
          <r>
            <rPr>
              <sz val="10"/>
              <rFont val="KaiTi"/>
              <family val="2"/>
            </rPr>
            <t xml:space="preserve">法标记离群，不删除数据</t>
          </r>
        </is>
      </c>
    </row>
    <row r="9">
      <c r="A9" s="13" t="inlineStr">
        <is>
          <r>
            <rPr>
              <sz val="10"/>
              <rFont val="KaiTi"/>
              <family val="2"/>
            </rPr>
            <t xml:space="preserve">隐含股价</t>
          </r>
        </is>
      </c>
      <c r="B9" s="9" t="inlineStr">
        <is>
          <r>
            <rPr>
              <sz val="10"/>
              <rFont val="KaiTi"/>
              <family val="2"/>
            </rPr>
            <t xml:space="preserve">核心同业（剔除离群）</t>
          </r>
          <r>
            <rPr>
              <sz val="10"/>
              <rFont val="Arial"/>
              <family val="2"/>
            </rPr>
            <t xml:space="preserve">P25 / </t>
          </r>
          <r>
            <rPr>
              <sz val="10"/>
              <rFont val="KaiTi"/>
              <family val="2"/>
            </rPr>
            <t xml:space="preserve">中位数 </t>
          </r>
          <r>
            <rPr>
              <sz val="10"/>
              <rFont val="Arial"/>
              <family val="2"/>
            </rPr>
            <t xml:space="preserve">/ P75 </t>
          </r>
          <r>
            <rPr>
              <sz val="10"/>
              <rFont val="KaiTi"/>
              <family val="2"/>
            </rPr>
            <t xml:space="preserve">倍数 </t>
          </r>
          <r>
            <rPr>
              <sz val="10"/>
              <rFont val="Arial"/>
              <family val="2"/>
            </rPr>
            <t xml:space="preserve">× </t>
          </r>
          <r>
            <rPr>
              <sz val="10"/>
              <rFont val="KaiTi"/>
              <family val="2"/>
            </rPr>
            <t xml:space="preserve">目标公司分母，</t>
          </r>
          <r>
            <rPr>
              <sz val="10"/>
              <rFont val="Arial"/>
              <family val="2"/>
            </rPr>
            <t xml:space="preserve">EV </t>
          </r>
          <r>
            <rPr>
              <sz val="10"/>
              <rFont val="KaiTi"/>
              <family val="2"/>
            </rPr>
            <t xml:space="preserve">倍数再扣股权桥后除以股本</t>
          </r>
        </is>
      </c>
    </row>
    <row r="10">
      <c r="A10" s="13" t="inlineStr">
        <is>
          <r>
            <rPr>
              <sz val="10"/>
              <rFont val="KaiTi"/>
              <family val="2"/>
            </rPr>
            <t xml:space="preserve">敏感性</t>
          </r>
        </is>
      </c>
      <c r="B10" s="9" t="inlineStr">
        <is>
          <r>
            <rPr>
              <sz val="10"/>
              <rFont val="KaiTi"/>
              <family val="2"/>
            </rPr>
            <t xml:space="preserve">核心同业（剔除离群）</t>
          </r>
          <r>
            <rPr>
              <sz val="10"/>
              <rFont val="Arial"/>
              <family val="2"/>
            </rPr>
            <t xml:space="preserve">P25 / </t>
          </r>
          <r>
            <rPr>
              <sz val="10"/>
              <rFont val="KaiTi"/>
              <family val="2"/>
            </rPr>
            <t xml:space="preserve">中位数 </t>
          </r>
          <r>
            <rPr>
              <sz val="10"/>
              <rFont val="Arial"/>
              <family val="2"/>
            </rPr>
            <t xml:space="preserve">/ P75 </t>
          </r>
          <r>
            <rPr>
              <sz val="10"/>
              <rFont val="KaiTi"/>
              <family val="2"/>
            </rPr>
            <t xml:space="preserve">倍数 </t>
          </r>
          <r>
            <rPr>
              <sz val="10"/>
              <rFont val="Arial"/>
              <family val="2"/>
            </rPr>
            <t xml:space="preserve">× </t>
          </r>
          <r>
            <rPr>
              <sz val="10"/>
              <rFont val="KaiTi"/>
              <family val="2"/>
            </rPr>
            <t xml:space="preserve">目标公司 </t>
          </r>
          <r>
            <rPr>
              <sz val="10"/>
              <rFont val="Arial"/>
              <family val="2"/>
            </rPr>
            <t xml:space="preserve">EBITDA </t>
          </r>
          <r>
            <rPr>
              <sz val="10"/>
              <rFont val="KaiTi"/>
              <family val="2"/>
            </rPr>
            <t xml:space="preserve">或归母净利润 </t>
          </r>
          <r>
            <rPr>
              <sz val="10"/>
              <rFont val="Arial"/>
              <family val="2"/>
            </rPr>
            <t xml:space="preserve">±10% </t>
          </r>
          <r>
            <rPr>
              <sz val="10"/>
              <rFont val="KaiTi"/>
              <family val="2"/>
            </rPr>
            <t xml:space="preserve">的隐含股价</t>
          </r>
        </is>
      </c>
    </row>
    <row r="11">
      <c r="A11" s="13" t="inlineStr">
        <is>
          <r>
            <rPr>
              <sz val="10"/>
              <rFont val="KaiTi"/>
              <family val="2"/>
            </rPr>
            <t xml:space="preserve">来源台账</t>
          </r>
        </is>
      </c>
      <c r="B11" s="9" t="inlineStr">
        <is>
          <r>
            <rPr>
              <sz val="10"/>
              <rFont val="KaiTi"/>
              <family val="2"/>
            </rPr>
            <t xml:space="preserve">每家公司的数据日期、来源、入选</t>
          </r>
          <r>
            <rPr>
              <sz val="10"/>
              <rFont val="Arial"/>
              <family val="2"/>
            </rPr>
            <t xml:space="preserve">/</t>
          </r>
          <r>
            <rPr>
              <sz val="10"/>
              <rFont val="KaiTi"/>
              <family val="2"/>
            </rPr>
            <t xml:space="preserve">剔除理由与可信度</t>
          </r>
        </is>
      </c>
    </row>
    <row r="12">
      <c r="A12" s="13" t="inlineStr">
        <is>
          <r>
            <rPr>
              <sz val="10"/>
              <rFont val="KaiTi"/>
              <family val="2"/>
            </rPr>
            <t xml:space="preserve">利润率对比</t>
          </r>
        </is>
      </c>
      <c r="B12" s="9" t="inlineStr">
        <is>
          <r>
            <rPr>
              <sz val="10"/>
              <rFont val="Arial"/>
              <family val="2"/>
            </rPr>
            <t xml:space="preserve">EBITDA / EBIT / </t>
          </r>
          <r>
            <rPr>
              <sz val="10"/>
              <rFont val="KaiTi"/>
              <family val="2"/>
            </rPr>
            <t xml:space="preserve">净利率 </t>
          </r>
          <r>
            <rPr>
              <sz val="10"/>
              <rFont val="Arial"/>
              <family val="2"/>
            </rPr>
            <t xml:space="preserve">= </t>
          </r>
          <r>
            <rPr>
              <sz val="10"/>
              <rFont val="KaiTi"/>
              <family val="2"/>
            </rPr>
            <t xml:space="preserve">对应利润 </t>
          </r>
          <r>
            <rPr>
              <sz val="10"/>
              <rFont val="Arial"/>
              <family val="2"/>
            </rPr>
            <t xml:space="preserve">÷ </t>
          </r>
          <r>
            <rPr>
              <sz val="10"/>
              <rFont val="KaiTi"/>
              <family val="2"/>
            </rPr>
            <t xml:space="preserve">营业收入（收入 </t>
          </r>
          <r>
            <rPr>
              <sz val="10"/>
              <rFont val="Arial"/>
              <family val="2"/>
            </rPr>
            <t xml:space="preserve">≤ 0 </t>
          </r>
          <r>
            <rPr>
              <sz val="10"/>
              <rFont val="KaiTi"/>
              <family val="2"/>
            </rPr>
            <t xml:space="preserve">记 </t>
          </r>
          <r>
            <rPr>
              <sz val="10"/>
              <rFont val="Arial"/>
              <family val="2"/>
            </rPr>
            <t xml:space="preserve">NM</t>
          </r>
          <r>
            <rPr>
              <sz val="10"/>
              <rFont val="KaiTi"/>
              <family val="2"/>
            </rPr>
            <t xml:space="preserve">）；核心同业中位数与 </t>
          </r>
          <r>
            <rPr>
              <sz val="10"/>
              <rFont val="Arial"/>
              <family val="2"/>
            </rPr>
            <t xml:space="preserve">P25/P75</t>
          </r>
          <r>
            <rPr>
              <sz val="10"/>
              <rFont val="KaiTi"/>
              <family val="2"/>
            </rPr>
            <t xml:space="preserve">，目标公司与核心中位数之差（百分点）。目标公司 </t>
          </r>
          <r>
            <rPr>
              <sz val="10"/>
              <rFont val="Arial"/>
              <family val="2"/>
            </rPr>
            <t xml:space="preserve">EBIT </t>
          </r>
          <r>
            <rPr>
              <sz val="10"/>
              <rFont val="KaiTi"/>
              <family val="2"/>
            </rPr>
            <t xml:space="preserve">为剔除投资收益与公允价值变动后的经营性口径，同业 </t>
          </r>
          <r>
            <rPr>
              <sz val="10"/>
              <rFont val="Arial"/>
              <family val="2"/>
            </rPr>
            <t xml:space="preserve">EBIT </t>
          </r>
          <r>
            <rPr>
              <sz val="10"/>
              <rFont val="KaiTi"/>
              <family val="2"/>
            </rPr>
            <t xml:space="preserve">以来源数据为准</t>
          </r>
        </is>
      </c>
    </row>
    <row r="13">
      <c r="A13" s="13" t="inlineStr">
        <is>
          <r>
            <rPr>
              <sz val="10"/>
              <rFont val="KaiTi"/>
              <family val="2"/>
            </rPr>
            <t xml:space="preserve">状态</t>
          </r>
        </is>
      </c>
      <c r="B13" s="9" t="inlineStr">
        <is>
          <r>
            <rPr>
              <sz val="10"/>
              <rFont val="Arial"/>
              <family val="2"/>
            </rPr>
            <t xml:space="preserve">senior-review-ready</t>
          </r>
          <r>
            <rPr>
              <sz val="10"/>
              <rFont val="KaiTi"/>
              <family val="2"/>
            </rPr>
            <t xml:space="preserve">（核心同业 </t>
          </r>
          <r>
            <rPr>
              <sz val="10"/>
              <rFont val="Arial"/>
              <family val="2"/>
            </rPr>
            <t xml:space="preserve">5 </t>
          </r>
          <r>
            <rPr>
              <sz val="10"/>
              <rFont val="KaiTi"/>
              <family val="2"/>
            </rPr>
            <t xml:space="preserve">家）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2" ySplit="1" topLeftCell="C2" activePane="bottomRight" state="frozen"/>
      <selection pane="bottomRight" activeCell="C2" sqref="C2"/>
    </sheetView>
  </sheetViews>
  <sheetFormatPr defaultRowHeight="16"/>
  <cols>
    <col min="1" max="1" width="12.5" customWidth="1"/>
    <col min="2" max="2" width="10.5" customWidth="1"/>
    <col min="3" max="3" width="11.5" customWidth="1"/>
    <col min="4" max="4" width="10.0" customWidth="1"/>
    <col min="5" max="5" width="10.5" customWidth="1"/>
    <col min="6" max="6" width="11.5" customWidth="1"/>
    <col min="7" max="7" width="13.5" customWidth="1"/>
    <col min="8" max="8" width="10.5" customWidth="1"/>
    <col min="9" max="9" width="13.5" customWidth="1"/>
    <col min="10" max="10" width="13.5" customWidth="1"/>
    <col min="11" max="11" width="12.5" customWidth="1"/>
    <col min="12" max="12" width="11.5" customWidth="1"/>
    <col min="13" max="13" width="14.5" customWidth="1"/>
    <col min="14" max="14" width="10.0" customWidth="1"/>
    <col min="15" max="15" width="12.5" customWidth="1"/>
    <col min="16" max="16" width="18.0" customWidth="1"/>
    <col min="17" max="17" width="30.0" customWidth="1"/>
    <col min="18" max="18" width="30.0" customWidth="1"/>
    <col min="19" max="19" width="10.0" customWidth="1"/>
  </cols>
  <sheetData>
    <row r="1" ht="3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代码</t>
          </r>
        </is>
      </c>
      <c r="B1" s="5" t="inlineStr">
        <is>
          <r>
            <rPr>
              <b/>
              <sz val="10"/>
              <color rgb="FFFFFFFF"/>
              <rFont val="KaiTi"/>
              <family val="2"/>
            </rPr>
            <t xml:space="preserve">公司</t>
          </r>
        </is>
      </c>
      <c r="C1" s="5" t="inlineStr">
        <is>
          <r>
            <rPr>
              <b/>
              <sz val="10"/>
              <color rgb="FFFFFFFF"/>
              <rFont val="KaiTi"/>
              <family val="2"/>
            </rPr>
            <t xml:space="preserve">分层</t>
          </r>
        </is>
      </c>
      <c r="D1" s="5" t="inlineStr">
        <is>
          <r>
            <rPr>
              <b/>
              <sz val="10"/>
              <color rgb="FFFFFFFF"/>
              <rFont val="KaiTi"/>
              <family val="2"/>
            </rPr>
            <t xml:space="preserve">股价（元）</t>
          </r>
        </is>
      </c>
      <c r="E1" s="5" t="inlineStr">
        <is>
          <r>
            <rPr>
              <b/>
              <sz val="10"/>
              <color rgb="FFFFFFFF"/>
              <rFont val="KaiTi"/>
              <family val="2"/>
            </rPr>
            <t xml:space="preserve">股本（百万股）</t>
          </r>
        </is>
      </c>
      <c r="F1" s="5" t="inlineStr">
        <is>
          <r>
            <rPr>
              <b/>
              <sz val="10"/>
              <color rgb="FFFFFFFF"/>
              <rFont val="KaiTi"/>
              <family val="2"/>
            </rPr>
            <t xml:space="preserve">有息负债（百万元）</t>
          </r>
        </is>
      </c>
      <c r="G1" s="5" t="inlineStr">
        <is>
          <r>
            <rPr>
              <b/>
              <sz val="10"/>
              <color rgb="FFFFFFFF"/>
              <rFont val="KaiTi"/>
              <family val="2"/>
            </rPr>
            <t xml:space="preserve">少数股东权益（百万元）</t>
          </r>
        </is>
      </c>
      <c r="H1" s="5" t="inlineStr">
        <is>
          <r>
            <rPr>
              <b/>
              <sz val="10"/>
              <color rgb="FFFFFFFF"/>
              <rFont val="KaiTi"/>
              <family val="2"/>
            </rPr>
            <t xml:space="preserve">现金（百万元）</t>
          </r>
        </is>
      </c>
      <c r="I1" s="5" t="inlineStr">
        <is>
          <r>
            <rPr>
              <b/>
              <sz val="10"/>
              <color rgb="FFFFFFFF"/>
              <rFont val="KaiTi"/>
              <family val="2"/>
            </rPr>
            <t xml:space="preserve">非经营性资产（百万元）</t>
          </r>
        </is>
      </c>
      <c r="J1" s="5" t="inlineStr">
        <is>
          <r>
            <rPr>
              <b/>
              <sz val="10"/>
              <color rgb="FFFFFFFF"/>
              <rFont val="KaiTi"/>
              <family val="2"/>
            </rPr>
            <t xml:space="preserve">营业收入 </t>
          </r>
          <r>
            <rPr>
              <b/>
              <sz val="10"/>
              <color rgb="FFFFFFFF"/>
              <rFont val="Arial"/>
              <family val="2"/>
            </rPr>
            <t xml:space="preserve">LTM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K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EBITDA LTM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L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 LTM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M1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LTM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N1" s="5" t="inlineStr">
        <is>
          <r>
            <rPr>
              <b/>
              <sz val="10"/>
              <color rgb="FFFFFFFF"/>
              <rFont val="Arial"/>
              <family val="2"/>
            </rPr>
            <t xml:space="preserve">EPS CY1</t>
          </r>
          <r>
            <rPr>
              <b/>
              <sz val="10"/>
              <color rgb="FFFFFFFF"/>
              <rFont val="KaiTi"/>
              <family val="2"/>
            </rPr>
            <t xml:space="preserve">（元）</t>
          </r>
        </is>
      </c>
      <c r="O1" s="5" t="inlineStr">
        <is>
          <r>
            <rPr>
              <b/>
              <sz val="10"/>
              <color rgb="FFFFFFFF"/>
              <rFont val="KaiTi"/>
              <family val="2"/>
            </rPr>
            <t xml:space="preserve">数据日期</t>
          </r>
        </is>
      </c>
      <c r="P1" s="5" t="inlineStr">
        <is>
          <r>
            <rPr>
              <b/>
              <sz val="10"/>
              <color rgb="FFFFFFFF"/>
              <rFont val="KaiTi"/>
              <family val="2"/>
            </rPr>
            <t xml:space="preserve">来源</t>
          </r>
        </is>
      </c>
      <c r="Q1" s="4" t="inlineStr">
        <is>
          <r>
            <rPr>
              <b/>
              <sz val="10"/>
              <color rgb="FFFFFFFF"/>
              <rFont val="KaiTi"/>
              <family val="2"/>
            </rPr>
            <t xml:space="preserve">入选理由</t>
          </r>
        </is>
      </c>
      <c r="R1" s="4" t="inlineStr">
        <is>
          <r>
            <rPr>
              <b/>
              <sz val="10"/>
              <color rgb="FFFFFFFF"/>
              <rFont val="KaiTi"/>
              <family val="2"/>
            </rPr>
            <t xml:space="preserve">剔除理由</t>
          </r>
        </is>
      </c>
      <c r="S1" s="5" t="inlineStr">
        <is>
          <r>
            <rPr>
              <b/>
              <sz val="10"/>
              <color rgb="FFFFFFFF"/>
              <rFont val="KaiTi"/>
              <family val="2"/>
            </rPr>
            <t xml:space="preserve">可信度</t>
          </r>
        </is>
      </c>
    </row>
    <row r="2" ht="16" customHeight="1">
      <c r="A2" s="14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000000</t>
          </r>
        </is>
      </c>
      <c r="B2" s="14" t="inlineStr">
        <is>
          <r>
            <rPr>
              <sz val="10"/>
              <rFont val="KaiTi"/>
              <family val="2"/>
            </rPr>
            <t xml:space="preserve">星河智造</t>
          </r>
        </is>
      </c>
      <c r="C2" s="14" t="inlineStr">
        <is>
          <t xml:space="preserve">Target</t>
        </is>
      </c>
      <c r="D2" s="15">
        <v>12.8</v>
      </c>
      <c r="E2" s="16">
        <v>800.0</v>
      </c>
      <c r="F2" s="16">
        <v>1705.0</v>
      </c>
      <c r="G2" s="16">
        <v>308.3</v>
      </c>
      <c r="H2" s="16">
        <v>1356.7</v>
      </c>
      <c r="I2" s="16">
        <v>0.0</v>
      </c>
      <c r="J2" s="16">
        <v>5862.34012536</v>
      </c>
      <c r="K2" s="16">
        <v>1081.22</v>
      </c>
      <c r="L2" s="16">
        <v>740.72</v>
      </c>
      <c r="M2" s="16">
        <v>612.38</v>
      </c>
      <c r="N2" s="14"/>
      <c r="O2" s="14" t="inlineStr">
        <is>
          <t xml:space="preserve">2025-04-30</t>
        </is>
      </c>
      <c r="P2" s="14" t="inlineStr">
        <is>
          <r>
            <rPr>
              <sz val="10"/>
              <rFont val="KaiTi"/>
              <family val="2"/>
            </rPr>
            <t xml:space="preserve">财报抽取 </t>
          </r>
          <r>
            <rPr>
              <sz val="10"/>
              <rFont val="Arial"/>
              <family val="2"/>
            </rPr>
            <t xml:space="preserve">+ </t>
          </r>
          <r>
            <rPr>
              <sz val="10"/>
              <rFont val="KaiTi"/>
              <family val="2"/>
            </rPr>
            <t xml:space="preserve">估值假设文件</t>
          </r>
        </is>
      </c>
      <c r="Q2" s="6"/>
      <c r="R2" s="6"/>
      <c r="S2" s="14" t="inlineStr">
        <is>
          <t xml:space="preserve">high</t>
        </is>
      </c>
    </row>
    <row r="3">
      <c r="A3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001</t>
          </r>
        </is>
      </c>
      <c r="B3" s="13" t="inlineStr">
        <is>
          <r>
            <rPr>
              <sz val="10"/>
              <rFont val="KaiTi"/>
              <family val="2"/>
            </rPr>
            <t xml:space="preserve">华宇装备</t>
          </r>
        </is>
      </c>
      <c r="C3" s="13" t="inlineStr">
        <is>
          <t xml:space="preserve">Core</t>
        </is>
      </c>
      <c r="D3" s="17">
        <v>25.0</v>
      </c>
      <c r="E3" s="18">
        <v>600.0</v>
      </c>
      <c r="F3" s="18">
        <v>2100.0</v>
      </c>
      <c r="G3" s="18">
        <v>150.0</v>
      </c>
      <c r="H3" s="18">
        <v>1800.0</v>
      </c>
      <c r="I3" s="18">
        <v>0.0</v>
      </c>
      <c r="J3" s="18">
        <v>7200.0</v>
      </c>
      <c r="K3" s="18">
        <v>1500.0</v>
      </c>
      <c r="L3" s="18">
        <v>1150.0</v>
      </c>
      <c r="M3" s="18">
        <v>820.0</v>
      </c>
      <c r="N3" s="17">
        <v>1.55</v>
      </c>
      <c r="O3" s="13" t="inlineStr">
        <is>
          <t xml:space="preserve">2025-04-30</t>
        </is>
      </c>
      <c r="P3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3" s="9" t="inlineStr">
        <is>
          <r>
            <rPr>
              <sz val="10"/>
              <rFont val="KaiTi"/>
              <family val="2"/>
            </rPr>
            <t xml:space="preserve">同为新能源装备制造，客户结构相近</t>
          </r>
        </is>
      </c>
      <c r="R3" s="9"/>
      <c r="S3" s="13" t="inlineStr">
        <is>
          <t xml:space="preserve">medium</t>
        </is>
      </c>
    </row>
    <row r="4">
      <c r="A4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002</t>
          </r>
        </is>
      </c>
      <c r="B4" s="13" t="inlineStr">
        <is>
          <r>
            <rPr>
              <sz val="10"/>
              <rFont val="KaiTi"/>
              <family val="2"/>
            </rPr>
            <t xml:space="preserve">东岳智能</t>
          </r>
        </is>
      </c>
      <c r="C4" s="13" t="inlineStr">
        <is>
          <t xml:space="preserve">Core</t>
        </is>
      </c>
      <c r="D4" s="17">
        <v>18.6</v>
      </c>
      <c r="E4" s="18">
        <v>500.0</v>
      </c>
      <c r="F4" s="18">
        <v>900.0</v>
      </c>
      <c r="G4" s="18">
        <v>60.0</v>
      </c>
      <c r="H4" s="18">
        <v>700.0</v>
      </c>
      <c r="I4" s="18">
        <v>0.0</v>
      </c>
      <c r="J4" s="18">
        <v>4100.0</v>
      </c>
      <c r="K4" s="18">
        <v>820.0</v>
      </c>
      <c r="L4" s="18">
        <v>640.0</v>
      </c>
      <c r="M4" s="18">
        <v>470.0</v>
      </c>
      <c r="N4" s="17">
        <v>1.05</v>
      </c>
      <c r="O4" s="13" t="inlineStr">
        <is>
          <t xml:space="preserve">2025-04-30</t>
        </is>
      </c>
      <c r="P4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4" s="9" t="inlineStr">
        <is>
          <r>
            <rPr>
              <sz val="10"/>
              <rFont val="KaiTi"/>
              <family val="2"/>
            </rPr>
            <t xml:space="preserve">产品线与目标公司重合度高</t>
          </r>
        </is>
      </c>
      <c r="R4" s="9"/>
      <c r="S4" s="13" t="inlineStr">
        <is>
          <t xml:space="preserve">medium</t>
        </is>
      </c>
    </row>
    <row r="5">
      <c r="A5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003</t>
          </r>
        </is>
      </c>
      <c r="B5" s="13" t="inlineStr">
        <is>
          <r>
            <rPr>
              <sz val="10"/>
              <rFont val="KaiTi"/>
              <family val="2"/>
            </rPr>
            <t xml:space="preserve">恒川重工</t>
          </r>
        </is>
      </c>
      <c r="C5" s="13" t="inlineStr">
        <is>
          <t xml:space="preserve">Core</t>
        </is>
      </c>
      <c r="D5" s="17">
        <v>9.8</v>
      </c>
      <c r="E5" s="18">
        <v>1200.0</v>
      </c>
      <c r="F5" s="18">
        <v>3200.0</v>
      </c>
      <c r="G5" s="18">
        <v>400.0</v>
      </c>
      <c r="H5" s="18">
        <v>1500.0</v>
      </c>
      <c r="I5" s="18">
        <v>0.0</v>
      </c>
      <c r="J5" s="18">
        <v>9800.0</v>
      </c>
      <c r="K5" s="18">
        <v>1650.0</v>
      </c>
      <c r="L5" s="18">
        <v>1100.0</v>
      </c>
      <c r="M5" s="18">
        <v>680.0</v>
      </c>
      <c r="N5" s="17">
        <v>0.64</v>
      </c>
      <c r="O5" s="13" t="inlineStr">
        <is>
          <t xml:space="preserve">2025-04-30</t>
        </is>
      </c>
      <c r="P5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5" s="9" t="inlineStr">
        <is>
          <r>
            <rPr>
              <sz val="10"/>
              <rFont val="KaiTi"/>
              <family val="2"/>
            </rPr>
            <t xml:space="preserve">规模更大但商业模式可比</t>
          </r>
        </is>
      </c>
      <c r="R5" s="9"/>
      <c r="S5" s="13" t="inlineStr">
        <is>
          <t xml:space="preserve">medium</t>
        </is>
      </c>
    </row>
    <row r="6">
      <c r="A6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004</t>
          </r>
        </is>
      </c>
      <c r="B6" s="13" t="inlineStr">
        <is>
          <r>
            <rPr>
              <sz val="10"/>
              <rFont val="KaiTi"/>
              <family val="2"/>
            </rPr>
            <t xml:space="preserve">远帆新能</t>
          </r>
        </is>
      </c>
      <c r="C6" s="13" t="inlineStr">
        <is>
          <t xml:space="preserve">Core</t>
        </is>
      </c>
      <c r="D6" s="17">
        <v>32.5</v>
      </c>
      <c r="E6" s="18">
        <v>300.0</v>
      </c>
      <c r="F6" s="18">
        <v>400.0</v>
      </c>
      <c r="G6" s="18">
        <v>20.0</v>
      </c>
      <c r="H6" s="18">
        <v>900.0</v>
      </c>
      <c r="I6" s="18">
        <v>0.0</v>
      </c>
      <c r="J6" s="18">
        <v>3500.0</v>
      </c>
      <c r="K6" s="18">
        <v>700.0</v>
      </c>
      <c r="L6" s="18">
        <v>560.0</v>
      </c>
      <c r="M6" s="18">
        <v>430.0</v>
      </c>
      <c r="N6" s="17">
        <v>1.62</v>
      </c>
      <c r="O6" s="13" t="inlineStr">
        <is>
          <t xml:space="preserve">2025-04-30</t>
        </is>
      </c>
      <c r="P6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6" s="9" t="inlineStr">
        <is>
          <r>
            <rPr>
              <sz val="10"/>
              <rFont val="KaiTi"/>
              <family val="2"/>
            </rPr>
            <t xml:space="preserve">细分设备龙头，增速较高</t>
          </r>
        </is>
      </c>
      <c r="R6" s="9"/>
      <c r="S6" s="13" t="inlineStr">
        <is>
          <t xml:space="preserve">medium</t>
        </is>
      </c>
    </row>
    <row r="7">
      <c r="A7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005</t>
          </r>
        </is>
      </c>
      <c r="B7" s="13" t="inlineStr">
        <is>
          <r>
            <rPr>
              <sz val="10"/>
              <rFont val="KaiTi"/>
              <family val="2"/>
            </rPr>
            <t xml:space="preserve">启明电气</t>
          </r>
        </is>
      </c>
      <c r="C7" s="13" t="inlineStr">
        <is>
          <t xml:space="preserve">Core</t>
        </is>
      </c>
      <c r="D7" s="17">
        <v>14.2</v>
      </c>
      <c r="E7" s="18">
        <v>900.0</v>
      </c>
      <c r="F7" s="18">
        <v>1500.0</v>
      </c>
      <c r="G7" s="18">
        <v>100.0</v>
      </c>
      <c r="H7" s="18">
        <v>1100.0</v>
      </c>
      <c r="I7" s="18">
        <v>0.0</v>
      </c>
      <c r="J7" s="18">
        <v>6300.0</v>
      </c>
      <c r="K7" s="18">
        <v>1150.0</v>
      </c>
      <c r="L7" s="18">
        <v>820.0</v>
      </c>
      <c r="M7" s="18">
        <v>560.0</v>
      </c>
      <c r="N7" s="17">
        <v>0.7</v>
      </c>
      <c r="O7" s="13" t="inlineStr">
        <is>
          <t xml:space="preserve">2025-04-30</t>
        </is>
      </c>
      <c r="P7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7" s="9" t="inlineStr">
        <is>
          <r>
            <rPr>
              <sz val="10"/>
              <rFont val="KaiTi"/>
              <family val="2"/>
            </rPr>
            <t xml:space="preserve">电气设备配套，周期属性相近</t>
          </r>
        </is>
      </c>
      <c r="R7" s="9"/>
      <c r="S7" s="13" t="inlineStr">
        <is>
          <t xml:space="preserve">medium</t>
        </is>
      </c>
    </row>
    <row r="8">
      <c r="A8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006</t>
          </r>
        </is>
      </c>
      <c r="B8" s="13" t="inlineStr">
        <is>
          <r>
            <rPr>
              <sz val="10"/>
              <rFont val="KaiTi"/>
              <family val="2"/>
            </rPr>
            <t xml:space="preserve">北辰精工</t>
          </r>
        </is>
      </c>
      <c r="C8" s="13" t="inlineStr">
        <is>
          <t xml:space="preserve">Secondary</t>
        </is>
      </c>
      <c r="D8" s="17">
        <v>45.0</v>
      </c>
      <c r="E8" s="18">
        <v>200.0</v>
      </c>
      <c r="F8" s="18">
        <v>200.0</v>
      </c>
      <c r="G8" s="18">
        <v>0.0</v>
      </c>
      <c r="H8" s="18">
        <v>600.0</v>
      </c>
      <c r="I8" s="18">
        <v>0.0</v>
      </c>
      <c r="J8" s="18">
        <v>2600.0</v>
      </c>
      <c r="K8" s="18">
        <v>520.0</v>
      </c>
      <c r="L8" s="18">
        <v>430.0</v>
      </c>
      <c r="M8" s="18">
        <v>360.0</v>
      </c>
      <c r="N8" s="17">
        <v>2.0</v>
      </c>
      <c r="O8" s="13" t="inlineStr">
        <is>
          <t xml:space="preserve">2025-04-30</t>
        </is>
      </c>
      <c r="P8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8" s="9" t="inlineStr">
        <is>
          <r>
            <rPr>
              <sz val="10"/>
              <rFont val="KaiTi"/>
              <family val="2"/>
            </rPr>
            <t xml:space="preserve">精密部件，利润率显著更高</t>
          </r>
        </is>
      </c>
      <c r="R8" s="9"/>
      <c r="S8" s="13" t="inlineStr">
        <is>
          <t xml:space="preserve">medium</t>
        </is>
      </c>
    </row>
    <row r="9">
      <c r="A9" s="13" t="inlineStr">
        <is>
          <r>
            <rPr>
              <sz val="10"/>
              <rFont val="KaiTi"/>
              <family val="2"/>
            </rPr>
            <t xml:space="preserve">示例</t>
          </r>
          <r>
            <rPr>
              <sz val="10"/>
              <rFont val="Arial"/>
              <family val="2"/>
            </rPr>
            <t xml:space="preserve">007</t>
          </r>
        </is>
      </c>
      <c r="B9" s="13" t="inlineStr">
        <is>
          <r>
            <rPr>
              <sz val="10"/>
              <rFont val="KaiTi"/>
              <family val="2"/>
            </rPr>
            <t xml:space="preserve">海川控股</t>
          </r>
        </is>
      </c>
      <c r="C9" s="13" t="inlineStr">
        <is>
          <t xml:space="preserve">Excluded</t>
        </is>
      </c>
      <c r="D9" s="17">
        <v>6.0</v>
      </c>
      <c r="E9" s="18">
        <v>3000.0</v>
      </c>
      <c r="F9" s="18">
        <v>9000.0</v>
      </c>
      <c r="G9" s="18">
        <v>1200.0</v>
      </c>
      <c r="H9" s="18">
        <v>2500.0</v>
      </c>
      <c r="I9" s="18">
        <v>800.0</v>
      </c>
      <c r="J9" s="18">
        <v>30000.0</v>
      </c>
      <c r="K9" s="18">
        <v>2000.0</v>
      </c>
      <c r="L9" s="18">
        <v>900.0</v>
      </c>
      <c r="M9" s="18">
        <v>-150.0</v>
      </c>
      <c r="N9" s="17">
        <v>0.05</v>
      </c>
      <c r="O9" s="13" t="inlineStr">
        <is>
          <t xml:space="preserve">2025-04-30</t>
        </is>
      </c>
      <c r="P9" s="13" t="inlineStr">
        <is>
          <r>
            <rPr>
              <sz val="10"/>
              <rFont val="KaiTi"/>
              <family val="2"/>
            </rPr>
            <t xml:space="preserve">样例数据（虚构）</t>
          </r>
        </is>
      </c>
      <c r="Q9" s="9"/>
      <c r="R9" s="9" t="inlineStr">
        <is>
          <r>
            <rPr>
              <sz val="10"/>
              <rFont val="KaiTi"/>
              <family val="2"/>
            </rPr>
            <t xml:space="preserve">多元化控股，装备业务占比不足</t>
          </r>
          <r>
            <rPr>
              <sz val="10"/>
              <rFont val="Arial"/>
              <family val="2"/>
            </rPr>
            <t xml:space="preserve">20%</t>
          </r>
          <r>
            <rPr>
              <sz val="10"/>
              <rFont val="KaiTi"/>
              <family val="2"/>
            </rPr>
            <t xml:space="preserve">且当期亏损</t>
          </r>
        </is>
      </c>
      <c r="S9" s="13" t="inlineStr">
        <is>
          <t xml:space="preserve">low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2" ySplit="1" topLeftCell="C2" activePane="bottomRight" state="frozen"/>
      <selection pane="bottomRight" activeCell="C2" sqref="C2"/>
    </sheetView>
  </sheetViews>
  <sheetFormatPr defaultRowHeight="16"/>
  <cols>
    <col min="1" max="1" width="12.5" customWidth="1"/>
    <col min="2" max="2" width="10.5" customWidth="1"/>
    <col min="3" max="3" width="11.5" customWidth="1"/>
    <col min="4" max="4" width="11.5" customWidth="1"/>
    <col min="5" max="5" width="11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5" customWidth="1"/>
    <col min="12" max="12" width="10.0" customWidth="1"/>
    <col min="13" max="13" width="10.0" customWidth="1"/>
    <col min="14" max="14" width="10.0" customWidth="1"/>
    <col min="15" max="15" width="10.0" customWidth="1"/>
  </cols>
  <sheetData>
    <row r="1" ht="3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代码</t>
          </r>
        </is>
      </c>
      <c r="B1" s="5" t="inlineStr">
        <is>
          <r>
            <rPr>
              <b/>
              <sz val="10"/>
              <color rgb="FFFFFFFF"/>
              <rFont val="KaiTi"/>
              <family val="2"/>
            </rPr>
            <t xml:space="preserve">公司</t>
          </r>
        </is>
      </c>
      <c r="C1" s="5" t="inlineStr">
        <is>
          <r>
            <rPr>
              <b/>
              <sz val="10"/>
              <color rgb="FFFFFFFF"/>
              <rFont val="KaiTi"/>
              <family val="2"/>
            </rPr>
            <t xml:space="preserve">分层</t>
          </r>
        </is>
      </c>
      <c r="D1" s="5" t="inlineStr">
        <is>
          <r>
            <rPr>
              <b/>
              <sz val="10"/>
              <color rgb="FFFFFFFF"/>
              <rFont val="KaiTi"/>
              <family val="2"/>
            </rPr>
            <t xml:space="preserve">股权价值</t>
          </r>
        </is>
      </c>
      <c r="E1" s="5" t="inlineStr">
        <is>
          <t xml:space="preserve">EV</t>
        </is>
      </c>
      <c r="F1" s="5" t="inlineStr">
        <is>
          <r>
            <rPr>
              <b/>
              <sz val="10"/>
              <color rgb="FFFFFFFF"/>
              <rFont val="Arial"/>
              <family val="2"/>
            </rPr>
            <t xml:space="preserve">EV/</t>
          </r>
          <r>
            <rPr>
              <b/>
              <sz val="10"/>
              <color rgb="FFFFFFFF"/>
              <rFont val="KaiTi"/>
              <family val="2"/>
            </rPr>
            <t xml:space="preserve">营业收入</t>
          </r>
        </is>
      </c>
      <c r="G1" s="5" t="inlineStr">
        <is>
          <t xml:space="preserve">EV/EBITDA</t>
        </is>
      </c>
      <c r="H1" s="5" t="inlineStr">
        <is>
          <t xml:space="preserve">EV/EBIT</t>
        </is>
      </c>
      <c r="I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LTM</t>
          </r>
          <r>
            <rPr>
              <b/>
              <sz val="10"/>
              <color rgb="FFFFFFFF"/>
              <rFont val="KaiTi"/>
              <family val="2"/>
            </rPr>
            <t xml:space="preserve">）</t>
          </r>
        </is>
      </c>
      <c r="J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NTM</t>
          </r>
          <r>
            <rPr>
              <b/>
              <sz val="10"/>
              <color rgb="FFFFFFFF"/>
              <rFont val="KaiTi"/>
              <family val="2"/>
            </rPr>
            <t xml:space="preserve">）</t>
          </r>
        </is>
      </c>
      <c r="K1" s="5" t="inlineStr">
        <is>
          <r>
            <rPr>
              <b/>
              <sz val="10"/>
              <color rgb="FFFFFFFF"/>
              <rFont val="Arial"/>
              <family val="2"/>
            </rPr>
            <t xml:space="preserve">EV/</t>
          </r>
          <r>
            <rPr>
              <b/>
              <sz val="10"/>
              <color rgb="FFFFFFFF"/>
              <rFont val="KaiTi"/>
              <family val="2"/>
            </rPr>
            <t xml:space="preserve">营业收入 离群</t>
          </r>
        </is>
      </c>
      <c r="L1" s="5" t="inlineStr">
        <is>
          <r>
            <rPr>
              <b/>
              <sz val="10"/>
              <color rgb="FFFFFFFF"/>
              <rFont val="Arial"/>
              <family val="2"/>
            </rPr>
            <t xml:space="preserve">EV/EBITDA </t>
          </r>
          <r>
            <rPr>
              <b/>
              <sz val="10"/>
              <color rgb="FFFFFFFF"/>
              <rFont val="KaiTi"/>
              <family val="2"/>
            </rPr>
            <t xml:space="preserve">离群</t>
          </r>
        </is>
      </c>
      <c r="M1" s="5" t="inlineStr">
        <is>
          <r>
            <rPr>
              <b/>
              <sz val="10"/>
              <color rgb="FFFFFFFF"/>
              <rFont val="Arial"/>
              <family val="2"/>
            </rPr>
            <t xml:space="preserve">EV/EBIT </t>
          </r>
          <r>
            <rPr>
              <b/>
              <sz val="10"/>
              <color rgb="FFFFFFFF"/>
              <rFont val="KaiTi"/>
              <family val="2"/>
            </rPr>
            <t xml:space="preserve">离群</t>
          </r>
        </is>
      </c>
      <c r="N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LTM</t>
          </r>
          <r>
            <rPr>
              <b/>
              <sz val="10"/>
              <color rgb="FFFFFFFF"/>
              <rFont val="KaiTi"/>
              <family val="2"/>
            </rPr>
            <t xml:space="preserve">） 离群</t>
          </r>
        </is>
      </c>
      <c r="O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NTM</t>
          </r>
          <r>
            <rPr>
              <b/>
              <sz val="10"/>
              <color rgb="FFFFFFFF"/>
              <rFont val="KaiTi"/>
              <family val="2"/>
            </rPr>
            <t xml:space="preserve">） 离群</t>
          </r>
        </is>
      </c>
    </row>
    <row r="2" ht="16" customHeight="1">
      <c r="A2" s="19" t="str">
        <f>同业数据!A2</f>
        <v>示例000000</v>
      </c>
      <c r="B2" s="19" t="str">
        <f>同业数据!B2</f>
        <v>星河智造</v>
      </c>
      <c r="C2" s="20" t="str">
        <f>同业数据!C2</f>
        <v>Target</v>
      </c>
      <c r="D2" s="21">
        <f>IF(AND(ISNUMBER(同业数据!D2),ISNUMBER(同业数据!E2)),同业数据!D2*同业数据!E2,"")</f>
        <v>10240.0</v>
      </c>
      <c r="E2" s="21">
        <f>IF(ISNUMBER(D2),D2+N(同业数据!F2)+N(同业数据!G2)-N(同业数据!H2)-N(同业数据!I2),"")</f>
        <v>10896.599999999999</v>
      </c>
      <c r="F2" s="22">
        <f>IF(OR(NOT(ISNUMBER(E2)),NOT(ISNUMBER(同业数据!J2))),"",IF(同业数据!J2&lt;=0,"NM",E2/同业数据!J2))</f>
        <v>1.8587457852986398</v>
      </c>
      <c r="G2" s="22">
        <f>IF(OR(NOT(ISNUMBER(E2)),NOT(ISNUMBER(同业数据!K2))),"",IF(同业数据!K2&lt;=0,"NM",E2/同业数据!K2))</f>
        <v>10.078059969293944</v>
      </c>
      <c r="H2" s="22">
        <f>IF(OR(NOT(ISNUMBER(E2)),NOT(ISNUMBER(同业数据!L2))),"",IF(同业数据!L2&lt;=0,"NM",E2/同业数据!L2))</f>
        <v>14.710821903013281</v>
      </c>
      <c r="I2" s="22">
        <f>IF(OR(NOT(ISNUMBER(D2)),NOT(ISNUMBER(同业数据!M2))),"",IF(同业数据!M2&lt;=0,"NM",D2/同业数据!M2))</f>
        <v>16.721643424017767</v>
      </c>
      <c r="J2" s="22" t="str">
        <f>IF(OR(NOT(ISNUMBER(同业数据!D2)),NOT(ISNUMBER(同业数据!N2))),"",IF(同业数据!N2&lt;=0,"NM",同业数据!D2/同业数据!N2))</f>
        <v/>
      </c>
      <c r="K2" s="23" t="str">
        <f>IF(AND(C2="Core",ISNUMBER(F2),统计!B$2&gt;=4),IF(OR(F2&lt;统计!B$7,F2&gt;统计!B$8),"离群",""),"")</f>
        <v/>
      </c>
      <c r="L2" s="23" t="str">
        <f>IF(AND(C2="Core",ISNUMBER(G2),统计!C$2&gt;=4),IF(OR(G2&lt;统计!C$7,G2&gt;统计!C$8),"离群",""),"")</f>
        <v/>
      </c>
      <c r="M2" s="23" t="str">
        <f>IF(AND(C2="Core",ISNUMBER(H2),统计!D$2&gt;=4),IF(OR(H2&lt;统计!D$7,H2&gt;统计!D$8),"离群",""),"")</f>
        <v/>
      </c>
      <c r="N2" s="23" t="str">
        <f>IF(AND(C2="Core",ISNUMBER(I2),统计!E$2&gt;=4),IF(OR(I2&lt;统计!E$7,I2&gt;统计!E$8),"离群",""),"")</f>
        <v/>
      </c>
      <c r="O2" s="23" t="str">
        <f>IF(AND(C2="Core",ISNUMBER(J2),统计!F$2&gt;=4),IF(OR(J2&lt;统计!F$7,J2&gt;统计!F$8),"离群",""),"")</f>
        <v/>
      </c>
    </row>
    <row r="3" ht="16" customHeight="1">
      <c r="A3" s="24" t="str">
        <f>同业数据!A3</f>
        <v>示例001</v>
      </c>
      <c r="B3" s="24" t="str">
        <f>同业数据!B3</f>
        <v>华宇装备</v>
      </c>
      <c r="C3" s="25" t="str">
        <f>同业数据!C3</f>
        <v>Core</v>
      </c>
      <c r="D3" s="26">
        <f>IF(AND(ISNUMBER(同业数据!D3),ISNUMBER(同业数据!E3)),同业数据!D3*同业数据!E3,"")</f>
        <v>15000.0</v>
      </c>
      <c r="E3" s="26">
        <f>IF(ISNUMBER(D3),D3+N(同业数据!F3)+N(同业数据!G3)-N(同业数据!H3)-N(同业数据!I3),"")</f>
        <v>15450.0</v>
      </c>
      <c r="F3" s="27">
        <f>IF(OR(NOT(ISNUMBER(E3)),NOT(ISNUMBER(同业数据!J3))),"",IF(同业数据!J3&lt;=0,"NM",E3/同业数据!J3))</f>
        <v>2.1458333333333335</v>
      </c>
      <c r="G3" s="27">
        <f>IF(OR(NOT(ISNUMBER(E3)),NOT(ISNUMBER(同业数据!K3))),"",IF(同业数据!K3&lt;=0,"NM",E3/同业数据!K3))</f>
        <v>10.3</v>
      </c>
      <c r="H3" s="27">
        <f>IF(OR(NOT(ISNUMBER(E3)),NOT(ISNUMBER(同业数据!L3))),"",IF(同业数据!L3&lt;=0,"NM",E3/同业数据!L3))</f>
        <v>13.434782608695652</v>
      </c>
      <c r="I3" s="27">
        <f>IF(OR(NOT(ISNUMBER(D3)),NOT(ISNUMBER(同业数据!M3))),"",IF(同业数据!M3&lt;=0,"NM",D3/同业数据!M3))</f>
        <v>18.29268292682927</v>
      </c>
      <c r="J3" s="27">
        <f>IF(OR(NOT(ISNUMBER(同业数据!D3)),NOT(ISNUMBER(同业数据!N3))),"",IF(同业数据!N3&lt;=0,"NM",同业数据!D3/同业数据!N3))</f>
        <v>16.129032258064516</v>
      </c>
      <c r="K3" s="28" t="str">
        <f>IF(AND(C3="Core",ISNUMBER(F3),统计!B$2&gt;=4),IF(OR(F3&lt;统计!B$7,F3&gt;统计!B$8),"离群",""),"")</f>
        <v/>
      </c>
      <c r="L3" s="28" t="str">
        <f>IF(AND(C3="Core",ISNUMBER(G3),统计!C$2&gt;=4),IF(OR(G3&lt;统计!C$7,G3&gt;统计!C$8),"离群",""),"")</f>
        <v/>
      </c>
      <c r="M3" s="28" t="str">
        <f>IF(AND(C3="Core",ISNUMBER(H3),统计!D$2&gt;=4),IF(OR(H3&lt;统计!D$7,H3&gt;统计!D$8),"离群",""),"")</f>
        <v/>
      </c>
      <c r="N3" s="28" t="str">
        <f>IF(AND(C3="Core",ISNUMBER(I3),统计!E$2&gt;=4),IF(OR(I3&lt;统计!E$7,I3&gt;统计!E$8),"离群",""),"")</f>
        <v/>
      </c>
      <c r="O3" s="28" t="str">
        <f>IF(AND(C3="Core",ISNUMBER(J3),统计!F$2&gt;=4),IF(OR(J3&lt;统计!F$7,J3&gt;统计!F$8),"离群",""),"")</f>
        <v/>
      </c>
    </row>
    <row r="4" ht="16" customHeight="1">
      <c r="A4" s="24" t="str">
        <f>同业数据!A4</f>
        <v>示例002</v>
      </c>
      <c r="B4" s="24" t="str">
        <f>同业数据!B4</f>
        <v>东岳智能</v>
      </c>
      <c r="C4" s="25" t="str">
        <f>同业数据!C4</f>
        <v>Core</v>
      </c>
      <c r="D4" s="26">
        <f>IF(AND(ISNUMBER(同业数据!D4),ISNUMBER(同业数据!E4)),同业数据!D4*同业数据!E4,"")</f>
        <v>9300.0</v>
      </c>
      <c r="E4" s="26">
        <f>IF(ISNUMBER(D4),D4+N(同业数据!F4)+N(同业数据!G4)-N(同业数据!H4)-N(同业数据!I4),"")</f>
        <v>9560.0</v>
      </c>
      <c r="F4" s="27">
        <f>IF(OR(NOT(ISNUMBER(E4)),NOT(ISNUMBER(同业数据!J4))),"",IF(同业数据!J4&lt;=0,"NM",E4/同业数据!J4))</f>
        <v>2.3317073170731706</v>
      </c>
      <c r="G4" s="27">
        <f>IF(OR(NOT(ISNUMBER(E4)),NOT(ISNUMBER(同业数据!K4))),"",IF(同业数据!K4&lt;=0,"NM",E4/同业数据!K4))</f>
        <v>11.658536585365853</v>
      </c>
      <c r="H4" s="27">
        <f>IF(OR(NOT(ISNUMBER(E4)),NOT(ISNUMBER(同业数据!L4))),"",IF(同业数据!L4&lt;=0,"NM",E4/同业数据!L4))</f>
        <v>14.9375</v>
      </c>
      <c r="I4" s="27">
        <f>IF(OR(NOT(ISNUMBER(D4)),NOT(ISNUMBER(同业数据!M4))),"",IF(同业数据!M4&lt;=0,"NM",D4/同业数据!M4))</f>
        <v>19.78723404255319</v>
      </c>
      <c r="J4" s="27">
        <f>IF(OR(NOT(ISNUMBER(同业数据!D4)),NOT(ISNUMBER(同业数据!N4))),"",IF(同业数据!N4&lt;=0,"NM",同业数据!D4/同业数据!N4))</f>
        <v>17.714285714285715</v>
      </c>
      <c r="K4" s="28" t="str">
        <f>IF(AND(C4="Core",ISNUMBER(F4),统计!B$2&gt;=4),IF(OR(F4&lt;统计!B$7,F4&gt;统计!B$8),"离群",""),"")</f>
        <v/>
      </c>
      <c r="L4" s="28" t="str">
        <f>IF(AND(C4="Core",ISNUMBER(G4),统计!C$2&gt;=4),IF(OR(G4&lt;统计!C$7,G4&gt;统计!C$8),"离群",""),"")</f>
        <v/>
      </c>
      <c r="M4" s="28" t="str">
        <f>IF(AND(C4="Core",ISNUMBER(H4),统计!D$2&gt;=4),IF(OR(H4&lt;统计!D$7,H4&gt;统计!D$8),"离群",""),"")</f>
        <v/>
      </c>
      <c r="N4" s="28" t="str">
        <f>IF(AND(C4="Core",ISNUMBER(I4),统计!E$2&gt;=4),IF(OR(I4&lt;统计!E$7,I4&gt;统计!E$8),"离群",""),"")</f>
        <v/>
      </c>
      <c r="O4" s="28" t="str">
        <f>IF(AND(C4="Core",ISNUMBER(J4),统计!F$2&gt;=4),IF(OR(J4&lt;统计!F$7,J4&gt;统计!F$8),"离群",""),"")</f>
        <v/>
      </c>
    </row>
    <row r="5" ht="16" customHeight="1">
      <c r="A5" s="24" t="str">
        <f>同业数据!A5</f>
        <v>示例003</v>
      </c>
      <c r="B5" s="24" t="str">
        <f>同业数据!B5</f>
        <v>恒川重工</v>
      </c>
      <c r="C5" s="25" t="str">
        <f>同业数据!C5</f>
        <v>Core</v>
      </c>
      <c r="D5" s="26">
        <f>IF(AND(ISNUMBER(同业数据!D5),ISNUMBER(同业数据!E5)),同业数据!D5*同业数据!E5,"")</f>
        <v>11760.0</v>
      </c>
      <c r="E5" s="26">
        <f>IF(ISNUMBER(D5),D5+N(同业数据!F5)+N(同业数据!G5)-N(同业数据!H5)-N(同业数据!I5),"")</f>
        <v>13860.0</v>
      </c>
      <c r="F5" s="27">
        <f>IF(OR(NOT(ISNUMBER(E5)),NOT(ISNUMBER(同业数据!J5))),"",IF(同业数据!J5&lt;=0,"NM",E5/同业数据!J5))</f>
        <v>1.4142857142857144</v>
      </c>
      <c r="G5" s="27">
        <f>IF(OR(NOT(ISNUMBER(E5)),NOT(ISNUMBER(同业数据!K5))),"",IF(同业数据!K5&lt;=0,"NM",E5/同业数据!K5))</f>
        <v>8.4</v>
      </c>
      <c r="H5" s="27">
        <f>IF(OR(NOT(ISNUMBER(E5)),NOT(ISNUMBER(同业数据!L5))),"",IF(同业数据!L5&lt;=0,"NM",E5/同业数据!L5))</f>
        <v>12.6</v>
      </c>
      <c r="I5" s="27">
        <f>IF(OR(NOT(ISNUMBER(D5)),NOT(ISNUMBER(同业数据!M5))),"",IF(同业数据!M5&lt;=0,"NM",D5/同业数据!M5))</f>
        <v>17.294117647058822</v>
      </c>
      <c r="J5" s="27">
        <f>IF(OR(NOT(ISNUMBER(同业数据!D5)),NOT(ISNUMBER(同业数据!N5))),"",IF(同业数据!N5&lt;=0,"NM",同业数据!D5/同业数据!N5))</f>
        <v>15.3125</v>
      </c>
      <c r="K5" s="29" t="str">
        <f>IF(AND(C5="Core",ISNUMBER(F5),统计!B$2&gt;=4),IF(OR(F5&lt;统计!B$7,F5&gt;统计!B$8),"离群",""),"")</f>
        <v>离群</v>
      </c>
      <c r="L5" s="28" t="str">
        <f>IF(AND(C5="Core",ISNUMBER(G5),统计!C$2&gt;=4),IF(OR(G5&lt;统计!C$7,G5&gt;统计!C$8),"离群",""),"")</f>
        <v/>
      </c>
      <c r="M5" s="28" t="str">
        <f>IF(AND(C5="Core",ISNUMBER(H5),统计!D$2&gt;=4),IF(OR(H5&lt;统计!D$7,H5&gt;统计!D$8),"离群",""),"")</f>
        <v/>
      </c>
      <c r="N5" s="28" t="str">
        <f>IF(AND(C5="Core",ISNUMBER(I5),统计!E$2&gt;=4),IF(OR(I5&lt;统计!E$7,I5&gt;统计!E$8),"离群",""),"")</f>
        <v/>
      </c>
      <c r="O5" s="28" t="str">
        <f>IF(AND(C5="Core",ISNUMBER(J5),统计!F$2&gt;=4),IF(OR(J5&lt;统计!F$7,J5&gt;统计!F$8),"离群",""),"")</f>
        <v/>
      </c>
    </row>
    <row r="6" ht="16" customHeight="1">
      <c r="A6" s="24" t="str">
        <f>同业数据!A6</f>
        <v>示例004</v>
      </c>
      <c r="B6" s="24" t="str">
        <f>同业数据!B6</f>
        <v>远帆新能</v>
      </c>
      <c r="C6" s="25" t="str">
        <f>同业数据!C6</f>
        <v>Core</v>
      </c>
      <c r="D6" s="26">
        <f>IF(AND(ISNUMBER(同业数据!D6),ISNUMBER(同业数据!E6)),同业数据!D6*同业数据!E6,"")</f>
        <v>9750.0</v>
      </c>
      <c r="E6" s="26">
        <f>IF(ISNUMBER(D6),D6+N(同业数据!F6)+N(同业数据!G6)-N(同业数据!H6)-N(同业数据!I6),"")</f>
        <v>9270.0</v>
      </c>
      <c r="F6" s="27">
        <f>IF(OR(NOT(ISNUMBER(E6)),NOT(ISNUMBER(同业数据!J6))),"",IF(同业数据!J6&lt;=0,"NM",E6/同业数据!J6))</f>
        <v>2.6485714285714286</v>
      </c>
      <c r="G6" s="27">
        <f>IF(OR(NOT(ISNUMBER(E6)),NOT(ISNUMBER(同业数据!K6))),"",IF(同业数据!K6&lt;=0,"NM",E6/同业数据!K6))</f>
        <v>13.242857142857142</v>
      </c>
      <c r="H6" s="27">
        <f>IF(OR(NOT(ISNUMBER(E6)),NOT(ISNUMBER(同业数据!L6))),"",IF(同业数据!L6&lt;=0,"NM",E6/同业数据!L6))</f>
        <v>16.553571428571427</v>
      </c>
      <c r="I6" s="27">
        <f>IF(OR(NOT(ISNUMBER(D6)),NOT(ISNUMBER(同业数据!M6))),"",IF(同业数据!M6&lt;=0,"NM",D6/同业数据!M6))</f>
        <v>22.674418604651162</v>
      </c>
      <c r="J6" s="27">
        <f>IF(OR(NOT(ISNUMBER(同业数据!D6)),NOT(ISNUMBER(同业数据!N6))),"",IF(同业数据!N6&lt;=0,"NM",同业数据!D6/同业数据!N6))</f>
        <v>20.061728395061728</v>
      </c>
      <c r="K6" s="28" t="str">
        <f>IF(AND(C6="Core",ISNUMBER(F6),统计!B$2&gt;=4),IF(OR(F6&lt;统计!B$7,F6&gt;统计!B$8),"离群",""),"")</f>
        <v/>
      </c>
      <c r="L6" s="28" t="str">
        <f>IF(AND(C6="Core",ISNUMBER(G6),统计!C$2&gt;=4),IF(OR(G6&lt;统计!C$7,G6&gt;统计!C$8),"离群",""),"")</f>
        <v/>
      </c>
      <c r="M6" s="28" t="str">
        <f>IF(AND(C6="Core",ISNUMBER(H6),统计!D$2&gt;=4),IF(OR(H6&lt;统计!D$7,H6&gt;统计!D$8),"离群",""),"")</f>
        <v/>
      </c>
      <c r="N6" s="28" t="str">
        <f>IF(AND(C6="Core",ISNUMBER(I6),统计!E$2&gt;=4),IF(OR(I6&lt;统计!E$7,I6&gt;统计!E$8),"离群",""),"")</f>
        <v/>
      </c>
      <c r="O6" s="28" t="str">
        <f>IF(AND(C6="Core",ISNUMBER(J6),统计!F$2&gt;=4),IF(OR(J6&lt;统计!F$7,J6&gt;统计!F$8),"离群",""),"")</f>
        <v/>
      </c>
    </row>
    <row r="7" ht="16" customHeight="1">
      <c r="A7" s="24" t="str">
        <f>同业数据!A7</f>
        <v>示例005</v>
      </c>
      <c r="B7" s="24" t="str">
        <f>同业数据!B7</f>
        <v>启明电气</v>
      </c>
      <c r="C7" s="25" t="str">
        <f>同业数据!C7</f>
        <v>Core</v>
      </c>
      <c r="D7" s="26">
        <f>IF(AND(ISNUMBER(同业数据!D7),ISNUMBER(同业数据!E7)),同业数据!D7*同业数据!E7,"")</f>
        <v>12780.0</v>
      </c>
      <c r="E7" s="26">
        <f>IF(ISNUMBER(D7),D7+N(同业数据!F7)+N(同业数据!G7)-N(同业数据!H7)-N(同业数据!I7),"")</f>
        <v>13280.0</v>
      </c>
      <c r="F7" s="27">
        <f>IF(OR(NOT(ISNUMBER(E7)),NOT(ISNUMBER(同业数据!J7))),"",IF(同业数据!J7&lt;=0,"NM",E7/同业数据!J7))</f>
        <v>2.107936507936508</v>
      </c>
      <c r="G7" s="27">
        <f>IF(OR(NOT(ISNUMBER(E7)),NOT(ISNUMBER(同业数据!K7))),"",IF(同业数据!K7&lt;=0,"NM",E7/同业数据!K7))</f>
        <v>11.547826086956523</v>
      </c>
      <c r="H7" s="27">
        <f>IF(OR(NOT(ISNUMBER(E7)),NOT(ISNUMBER(同业数据!L7))),"",IF(同业数据!L7&lt;=0,"NM",E7/同业数据!L7))</f>
        <v>16.195121951219512</v>
      </c>
      <c r="I7" s="27">
        <f>IF(OR(NOT(ISNUMBER(D7)),NOT(ISNUMBER(同业数据!M7))),"",IF(同业数据!M7&lt;=0,"NM",D7/同业数据!M7))</f>
        <v>22.821428571428573</v>
      </c>
      <c r="J7" s="27">
        <f>IF(OR(NOT(ISNUMBER(同业数据!D7)),NOT(ISNUMBER(同业数据!N7))),"",IF(同业数据!N7&lt;=0,"NM",同业数据!D7/同业数据!N7))</f>
        <v>20.285714285714285</v>
      </c>
      <c r="K7" s="28" t="str">
        <f>IF(AND(C7="Core",ISNUMBER(F7),统计!B$2&gt;=4),IF(OR(F7&lt;统计!B$7,F7&gt;统计!B$8),"离群",""),"")</f>
        <v/>
      </c>
      <c r="L7" s="28" t="str">
        <f>IF(AND(C7="Core",ISNUMBER(G7),统计!C$2&gt;=4),IF(OR(G7&lt;统计!C$7,G7&gt;统计!C$8),"离群",""),"")</f>
        <v/>
      </c>
      <c r="M7" s="28" t="str">
        <f>IF(AND(C7="Core",ISNUMBER(H7),统计!D$2&gt;=4),IF(OR(H7&lt;统计!D$7,H7&gt;统计!D$8),"离群",""),"")</f>
        <v/>
      </c>
      <c r="N7" s="28" t="str">
        <f>IF(AND(C7="Core",ISNUMBER(I7),统计!E$2&gt;=4),IF(OR(I7&lt;统计!E$7,I7&gt;统计!E$8),"离群",""),"")</f>
        <v/>
      </c>
      <c r="O7" s="28" t="str">
        <f>IF(AND(C7="Core",ISNUMBER(J7),统计!F$2&gt;=4),IF(OR(J7&lt;统计!F$7,J7&gt;统计!F$8),"离群",""),"")</f>
        <v/>
      </c>
    </row>
    <row r="8" ht="16" customHeight="1">
      <c r="A8" s="24" t="str">
        <f>同业数据!A8</f>
        <v>示例006</v>
      </c>
      <c r="B8" s="24" t="str">
        <f>同业数据!B8</f>
        <v>北辰精工</v>
      </c>
      <c r="C8" s="25" t="str">
        <f>同业数据!C8</f>
        <v>Secondary</v>
      </c>
      <c r="D8" s="26">
        <f>IF(AND(ISNUMBER(同业数据!D8),ISNUMBER(同业数据!E8)),同业数据!D8*同业数据!E8,"")</f>
        <v>9000.0</v>
      </c>
      <c r="E8" s="26">
        <f>IF(ISNUMBER(D8),D8+N(同业数据!F8)+N(同业数据!G8)-N(同业数据!H8)-N(同业数据!I8),"")</f>
        <v>8600.0</v>
      </c>
      <c r="F8" s="27">
        <f>IF(OR(NOT(ISNUMBER(E8)),NOT(ISNUMBER(同业数据!J8))),"",IF(同业数据!J8&lt;=0,"NM",E8/同业数据!J8))</f>
        <v>3.3076923076923075</v>
      </c>
      <c r="G8" s="27">
        <f>IF(OR(NOT(ISNUMBER(E8)),NOT(ISNUMBER(同业数据!K8))),"",IF(同业数据!K8&lt;=0,"NM",E8/同业数据!K8))</f>
        <v>16.53846153846154</v>
      </c>
      <c r="H8" s="27">
        <f>IF(OR(NOT(ISNUMBER(E8)),NOT(ISNUMBER(同业数据!L8))),"",IF(同业数据!L8&lt;=0,"NM",E8/同业数据!L8))</f>
        <v>20.0</v>
      </c>
      <c r="I8" s="27">
        <f>IF(OR(NOT(ISNUMBER(D8)),NOT(ISNUMBER(同业数据!M8))),"",IF(同业数据!M8&lt;=0,"NM",D8/同业数据!M8))</f>
        <v>25.0</v>
      </c>
      <c r="J8" s="27">
        <f>IF(OR(NOT(ISNUMBER(同业数据!D8)),NOT(ISNUMBER(同业数据!N8))),"",IF(同业数据!N8&lt;=0,"NM",同业数据!D8/同业数据!N8))</f>
        <v>22.5</v>
      </c>
      <c r="K8" s="28" t="str">
        <f>IF(AND(C8="Core",ISNUMBER(F8),统计!B$2&gt;=4),IF(OR(F8&lt;统计!B$7,F8&gt;统计!B$8),"离群",""),"")</f>
        <v/>
      </c>
      <c r="L8" s="28" t="str">
        <f>IF(AND(C8="Core",ISNUMBER(G8),统计!C$2&gt;=4),IF(OR(G8&lt;统计!C$7,G8&gt;统计!C$8),"离群",""),"")</f>
        <v/>
      </c>
      <c r="M8" s="28" t="str">
        <f>IF(AND(C8="Core",ISNUMBER(H8),统计!D$2&gt;=4),IF(OR(H8&lt;统计!D$7,H8&gt;统计!D$8),"离群",""),"")</f>
        <v/>
      </c>
      <c r="N8" s="28" t="str">
        <f>IF(AND(C8="Core",ISNUMBER(I8),统计!E$2&gt;=4),IF(OR(I8&lt;统计!E$7,I8&gt;统计!E$8),"离群",""),"")</f>
        <v/>
      </c>
      <c r="O8" s="28" t="str">
        <f>IF(AND(C8="Core",ISNUMBER(J8),统计!F$2&gt;=4),IF(OR(J8&lt;统计!F$7,J8&gt;统计!F$8),"离群",""),"")</f>
        <v/>
      </c>
    </row>
    <row r="9" ht="16" customHeight="1">
      <c r="A9" s="24" t="str">
        <f>同业数据!A9</f>
        <v>示例007</v>
      </c>
      <c r="B9" s="24" t="str">
        <f>同业数据!B9</f>
        <v>海川控股</v>
      </c>
      <c r="C9" s="25" t="str">
        <f>同业数据!C9</f>
        <v>Excluded</v>
      </c>
      <c r="D9" s="26">
        <f>IF(AND(ISNUMBER(同业数据!D9),ISNUMBER(同业数据!E9)),同业数据!D9*同业数据!E9,"")</f>
        <v>18000.0</v>
      </c>
      <c r="E9" s="26">
        <f>IF(ISNUMBER(D9),D9+N(同业数据!F9)+N(同业数据!G9)-N(同业数据!H9)-N(同业数据!I9),"")</f>
        <v>24900.0</v>
      </c>
      <c r="F9" s="27">
        <f>IF(OR(NOT(ISNUMBER(E9)),NOT(ISNUMBER(同业数据!J9))),"",IF(同业数据!J9&lt;=0,"NM",E9/同业数据!J9))</f>
        <v>0.83</v>
      </c>
      <c r="G9" s="27">
        <f>IF(OR(NOT(ISNUMBER(E9)),NOT(ISNUMBER(同业数据!K9))),"",IF(同业数据!K9&lt;=0,"NM",E9/同业数据!K9))</f>
        <v>12.45</v>
      </c>
      <c r="H9" s="27">
        <f>IF(OR(NOT(ISNUMBER(E9)),NOT(ISNUMBER(同业数据!L9))),"",IF(同业数据!L9&lt;=0,"NM",E9/同业数据!L9))</f>
        <v>27.666666666666668</v>
      </c>
      <c r="I9" s="27" t="str">
        <f>IF(OR(NOT(ISNUMBER(D9)),NOT(ISNUMBER(同业数据!M9))),"",IF(同业数据!M9&lt;=0,"NM",D9/同业数据!M9))</f>
        <v>NM</v>
      </c>
      <c r="J9" s="27">
        <f>IF(OR(NOT(ISNUMBER(同业数据!D9)),NOT(ISNUMBER(同业数据!N9))),"",IF(同业数据!N9&lt;=0,"NM",同业数据!D9/同业数据!N9))</f>
        <v>120.0</v>
      </c>
      <c r="K9" s="28" t="str">
        <f>IF(AND(C9="Core",ISNUMBER(F9),统计!B$2&gt;=4),IF(OR(F9&lt;统计!B$7,F9&gt;统计!B$8),"离群",""),"")</f>
        <v/>
      </c>
      <c r="L9" s="28" t="str">
        <f>IF(AND(C9="Core",ISNUMBER(G9),统计!C$2&gt;=4),IF(OR(G9&lt;统计!C$7,G9&gt;统计!C$8),"离群",""),"")</f>
        <v/>
      </c>
      <c r="M9" s="28" t="str">
        <f>IF(AND(C9="Core",ISNUMBER(H9),统计!D$2&gt;=4),IF(OR(H9&lt;统计!D$7,H9&gt;统计!D$8),"离群",""),"")</f>
        <v/>
      </c>
      <c r="N9" s="28" t="str">
        <f>IF(AND(C9="Core",ISNUMBER(I9),统计!E$2&gt;=4),IF(OR(I9&lt;统计!E$7,I9&gt;统计!E$8),"离群",""),"")</f>
        <v/>
      </c>
      <c r="O9" s="28" t="str">
        <f>IF(AND(C9="Core",ISNUMBER(J9),统计!F$2&gt;=4),IF(OR(J9&lt;统计!F$7,J9&gt;统计!F$8),"离群",""),"")</f>
        <v/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1" topLeftCell="B2" activePane="bottomRight" state="frozen"/>
      <selection pane="bottomRight" activeCell="B2" sqref="B2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3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统计量</t>
          </r>
        </is>
      </c>
      <c r="B1" s="5" t="inlineStr">
        <is>
          <r>
            <rPr>
              <b/>
              <sz val="10"/>
              <color rgb="FFFFFFFF"/>
              <rFont val="Arial"/>
              <family val="2"/>
            </rPr>
            <t xml:space="preserve">EV/</t>
          </r>
          <r>
            <rPr>
              <b/>
              <sz val="10"/>
              <color rgb="FFFFFFFF"/>
              <rFont val="KaiTi"/>
              <family val="2"/>
            </rPr>
            <t xml:space="preserve">营业收入</t>
          </r>
        </is>
      </c>
      <c r="C1" s="5" t="inlineStr">
        <is>
          <t xml:space="preserve">EV/EBITDA</t>
        </is>
      </c>
      <c r="D1" s="5" t="inlineStr">
        <is>
          <t xml:space="preserve">EV/EBIT</t>
        </is>
      </c>
      <c r="E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LTM</t>
          </r>
          <r>
            <rPr>
              <b/>
              <sz val="10"/>
              <color rgb="FFFFFFFF"/>
              <rFont val="KaiTi"/>
              <family val="2"/>
            </rPr>
            <t xml:space="preserve">）</t>
          </r>
        </is>
      </c>
      <c r="F1" s="5" t="inlineStr">
        <is>
          <r>
            <rPr>
              <b/>
              <sz val="10"/>
              <color rgb="FFFFFFFF"/>
              <rFont val="Arial"/>
              <family val="2"/>
            </rPr>
            <t xml:space="preserve">P/E</t>
          </r>
          <r>
            <rPr>
              <b/>
              <sz val="10"/>
              <color rgb="FFFFFFFF"/>
              <rFont val="KaiTi"/>
              <family val="2"/>
            </rPr>
            <t xml:space="preserve">（</t>
          </r>
          <r>
            <rPr>
              <b/>
              <sz val="10"/>
              <color rgb="FFFFFFFF"/>
              <rFont val="Arial"/>
              <family val="2"/>
            </rPr>
            <t xml:space="preserve">NTM</t>
          </r>
          <r>
            <rPr>
              <b/>
              <sz val="10"/>
              <color rgb="FFFFFFFF"/>
              <rFont val="KaiTi"/>
              <family val="2"/>
            </rPr>
            <t xml:space="preserve">）</t>
          </r>
        </is>
      </c>
    </row>
    <row r="2" ht="16" customHeight="1">
      <c r="A2" s="13" t="inlineStr">
        <is>
          <r>
            <rPr>
              <sz val="10"/>
              <rFont val="KaiTi"/>
              <family val="2"/>
            </rPr>
            <t xml:space="preserve">核心同业样本数</t>
          </r>
        </is>
      </c>
      <c r="B2" s="30">
        <f>SUMPRODUCT((倍数!$C$3:$C$9="Core")*ISNUMBER(倍数!F$3:F$9))</f>
        <v>5</v>
      </c>
      <c r="C2" s="30">
        <f>SUMPRODUCT((倍数!$C$3:$C$9="Core")*ISNUMBER(倍数!G$3:G$9))</f>
        <v>5</v>
      </c>
      <c r="D2" s="30">
        <f>SUMPRODUCT((倍数!$C$3:$C$9="Core")*ISNUMBER(倍数!H$3:H$9))</f>
        <v>5</v>
      </c>
      <c r="E2" s="30">
        <f>SUMPRODUCT((倍数!$C$3:$C$9="Core")*ISNUMBER(倍数!I$3:I$9))</f>
        <v>5</v>
      </c>
      <c r="F2" s="30">
        <f>SUMPRODUCT((倍数!$C$3:$C$9="Core")*ISNUMBER(倍数!J$3:J$9))</f>
        <v>5</v>
      </c>
    </row>
    <row r="3" ht="16" customHeight="1">
      <c r="A3" s="13" t="inlineStr">
        <is>
          <r>
            <rPr>
              <sz val="10"/>
              <rFont val="KaiTi"/>
              <family val="2"/>
            </rPr>
            <t xml:space="preserve">核心中位数</t>
          </r>
        </is>
      </c>
      <c r="B3" s="27">
        <f t="array" ref="B3">IF(B2=0,"",MEDIAN(IF((倍数!$C$3:$C$9="Core")*ISNUMBER(倍数!F$3:F$9),倍数!F$3:F$9)))</f>
        <v>2.1458333333333335</v>
      </c>
      <c r="C3" s="27">
        <f t="array" ref="C3">IF(C2=0,"",MEDIAN(IF((倍数!$C$3:$C$9="Core")*ISNUMBER(倍数!G$3:G$9),倍数!G$3:G$9)))</f>
        <v>11.547826086956523</v>
      </c>
      <c r="D3" s="27">
        <f t="array" ref="D3">IF(D2=0,"",MEDIAN(IF((倍数!$C$3:$C$9="Core")*ISNUMBER(倍数!H$3:H$9),倍数!H$3:H$9)))</f>
        <v>14.9375</v>
      </c>
      <c r="E3" s="27">
        <f t="array" ref="E3">IF(E2=0,"",MEDIAN(IF((倍数!$C$3:$C$9="Core")*ISNUMBER(倍数!I$3:I$9),倍数!I$3:I$9)))</f>
        <v>19.78723404255319</v>
      </c>
      <c r="F3" s="27">
        <f t="array" ref="F3">IF(F2=0,"",MEDIAN(IF((倍数!$C$3:$C$9="Core")*ISNUMBER(倍数!J$3:J$9),倍数!J$3:J$9)))</f>
        <v>17.714285714285715</v>
      </c>
    </row>
    <row r="4" ht="16" customHeight="1">
      <c r="A4" s="13" t="inlineStr">
        <is>
          <r>
            <rPr>
              <sz val="10"/>
              <rFont val="KaiTi"/>
              <family val="2"/>
            </rPr>
            <t xml:space="preserve">核心均值</t>
          </r>
        </is>
      </c>
      <c r="B4" s="27">
        <f t="array" ref="B4">IF(B2=0,"",AVERAGE(IF((倍数!$C$3:$C$9="Core")*ISNUMBER(倍数!F$3:F$9),倍数!F$3:F$9)))</f>
        <v>2.129666860240031</v>
      </c>
      <c r="C4" s="27">
        <f t="array" ref="C4">IF(C2=0,"",AVERAGE(IF((倍数!$C$3:$C$9="Core")*ISNUMBER(倍数!G$3:G$9),倍数!G$3:G$9)))</f>
        <v>11.029843963035905</v>
      </c>
      <c r="D4" s="27">
        <f t="array" ref="D4">IF(D2=0,"",AVERAGE(IF((倍数!$C$3:$C$9="Core")*ISNUMBER(倍数!H$3:H$9),倍数!H$3:H$9)))</f>
        <v>14.744195197697318</v>
      </c>
      <c r="E4" s="27">
        <f t="array" ref="E4">IF(E2=0,"",AVERAGE(IF((倍数!$C$3:$C$9="Core")*ISNUMBER(倍数!I$3:I$9),倍数!I$3:I$9)))</f>
        <v>20.173976358504202</v>
      </c>
      <c r="F4" s="27">
        <f t="array" ref="F4">IF(F2=0,"",AVERAGE(IF((倍数!$C$3:$C$9="Core")*ISNUMBER(倍数!J$3:J$9),倍数!J$3:J$9)))</f>
        <v>17.90065213062525</v>
      </c>
    </row>
    <row r="5" ht="16" customHeight="1">
      <c r="A5" s="13" t="inlineStr">
        <is>
          <r>
            <rPr>
              <sz val="10"/>
              <rFont val="KaiTi"/>
              <family val="2"/>
            </rPr>
            <t xml:space="preserve">核心 </t>
          </r>
          <r>
            <rPr>
              <sz val="10"/>
              <rFont val="Arial"/>
              <family val="2"/>
            </rPr>
            <t xml:space="preserve">P25</t>
          </r>
        </is>
      </c>
      <c r="B5" s="27">
        <f t="array" ref="B5">IF(B2=0,"",QUARTILE(IF((倍数!$C$3:$C$9="Core")*ISNUMBER(倍数!F$3:F$9),倍数!F$3:F$9),1))</f>
        <v>2.107936507936508</v>
      </c>
      <c r="C5" s="27">
        <f t="array" ref="C5">IF(C2=0,"",QUARTILE(IF((倍数!$C$3:$C$9="Core")*ISNUMBER(倍数!G$3:G$9),倍数!G$3:G$9),1))</f>
        <v>10.3</v>
      </c>
      <c r="D5" s="27">
        <f t="array" ref="D5">IF(D2=0,"",QUARTILE(IF((倍数!$C$3:$C$9="Core")*ISNUMBER(倍数!H$3:H$9),倍数!H$3:H$9),1))</f>
        <v>13.434782608695652</v>
      </c>
      <c r="E5" s="27">
        <f t="array" ref="E5">IF(E2=0,"",QUARTILE(IF((倍数!$C$3:$C$9="Core")*ISNUMBER(倍数!I$3:I$9),倍数!I$3:I$9),1))</f>
        <v>18.29268292682927</v>
      </c>
      <c r="F5" s="27">
        <f t="array" ref="F5">IF(F2=0,"",QUARTILE(IF((倍数!$C$3:$C$9="Core")*ISNUMBER(倍数!J$3:J$9),倍数!J$3:J$9),1))</f>
        <v>16.129032258064516</v>
      </c>
    </row>
    <row r="6" ht="16" customHeight="1">
      <c r="A6" s="13" t="inlineStr">
        <is>
          <r>
            <rPr>
              <sz val="10"/>
              <rFont val="KaiTi"/>
              <family val="2"/>
            </rPr>
            <t xml:space="preserve">核心 </t>
          </r>
          <r>
            <rPr>
              <sz val="10"/>
              <rFont val="Arial"/>
              <family val="2"/>
            </rPr>
            <t xml:space="preserve">P75</t>
          </r>
        </is>
      </c>
      <c r="B6" s="27">
        <f t="array" ref="B6">IF(B2=0,"",QUARTILE(IF((倍数!$C$3:$C$9="Core")*ISNUMBER(倍数!F$3:F$9),倍数!F$3:F$9),3))</f>
        <v>2.3317073170731706</v>
      </c>
      <c r="C6" s="27">
        <f t="array" ref="C6">IF(C2=0,"",QUARTILE(IF((倍数!$C$3:$C$9="Core")*ISNUMBER(倍数!G$3:G$9),倍数!G$3:G$9),3))</f>
        <v>11.658536585365853</v>
      </c>
      <c r="D6" s="27">
        <f t="array" ref="D6">IF(D2=0,"",QUARTILE(IF((倍数!$C$3:$C$9="Core")*ISNUMBER(倍数!H$3:H$9),倍数!H$3:H$9),3))</f>
        <v>16.195121951219512</v>
      </c>
      <c r="E6" s="27">
        <f t="array" ref="E6">IF(E2=0,"",QUARTILE(IF((倍数!$C$3:$C$9="Core")*ISNUMBER(倍数!I$3:I$9),倍数!I$3:I$9),3))</f>
        <v>22.674418604651162</v>
      </c>
      <c r="F6" s="27">
        <f t="array" ref="F6">IF(F2=0,"",QUARTILE(IF((倍数!$C$3:$C$9="Core")*ISNUMBER(倍数!J$3:J$9),倍数!J$3:J$9),3))</f>
        <v>20.061728395061728</v>
      </c>
    </row>
    <row r="7" ht="16" customHeight="1">
      <c r="A7" s="13" t="inlineStr">
        <is>
          <r>
            <rPr>
              <sz val="10"/>
              <rFont val="Arial"/>
              <family val="2"/>
            </rPr>
            <t xml:space="preserve">IQR </t>
          </r>
          <r>
            <rPr>
              <sz val="10"/>
              <rFont val="KaiTi"/>
              <family val="2"/>
            </rPr>
            <t xml:space="preserve">下限（</t>
          </r>
          <r>
            <rPr>
              <sz val="10"/>
              <rFont val="Arial"/>
              <family val="2"/>
            </rPr>
            <t xml:space="preserve">P25 − 1.5×IQR</t>
          </r>
          <r>
            <rPr>
              <sz val="10"/>
              <rFont val="KaiTi"/>
              <family val="2"/>
            </rPr>
            <t xml:space="preserve">）</t>
          </r>
        </is>
      </c>
      <c r="B7" s="27">
        <f>IF(B2=0,"",B5-1.5*(B6-B5))</f>
        <v>1.7722802942315141</v>
      </c>
      <c r="C7" s="27">
        <f>IF(C2=0,"",C5-1.5*(C6-C5))</f>
        <v>8.262195121951223</v>
      </c>
      <c r="D7" s="27">
        <f>IF(D2=0,"",D5-1.5*(D6-D5))</f>
        <v>9.294273594909862</v>
      </c>
      <c r="E7" s="27">
        <f>IF(E2=0,"",E5-1.5*(E6-E5))</f>
        <v>11.720079410096428</v>
      </c>
      <c r="F7" s="27">
        <f>IF(F2=0,"",F5-1.5*(F6-F5))</f>
        <v>10.229988052568698</v>
      </c>
    </row>
    <row r="8" ht="16" customHeight="1">
      <c r="A8" s="13" t="inlineStr">
        <is>
          <r>
            <rPr>
              <sz val="10"/>
              <rFont val="Arial"/>
              <family val="2"/>
            </rPr>
            <t xml:space="preserve">IQR </t>
          </r>
          <r>
            <rPr>
              <sz val="10"/>
              <rFont val="KaiTi"/>
              <family val="2"/>
            </rPr>
            <t xml:space="preserve">上限（</t>
          </r>
          <r>
            <rPr>
              <sz val="10"/>
              <rFont val="Arial"/>
              <family val="2"/>
            </rPr>
            <t xml:space="preserve">P75 + 1.5×IQR</t>
          </r>
          <r>
            <rPr>
              <sz val="10"/>
              <rFont val="KaiTi"/>
              <family val="2"/>
            </rPr>
            <t xml:space="preserve">）</t>
          </r>
        </is>
      </c>
      <c r="B8" s="27">
        <f>IF(B2=0,"",B6+1.5*(B6-B5))</f>
        <v>2.6673635307781645</v>
      </c>
      <c r="C8" s="27">
        <f>IF(C2=0,"",C6+1.5*(C6-C5))</f>
        <v>13.696341463414633</v>
      </c>
      <c r="D8" s="27">
        <f>IF(D2=0,"",D6+1.5*(D6-D5))</f>
        <v>20.3356309650053</v>
      </c>
      <c r="E8" s="27">
        <f>IF(E2=0,"",E6+1.5*(E6-E5))</f>
        <v>29.247022121384003</v>
      </c>
      <c r="F8" s="27">
        <f>IF(F2=0,"",F6+1.5*(F6-F5))</f>
        <v>25.960772600557547</v>
      </c>
    </row>
    <row r="9" ht="16" customHeight="1">
      <c r="A9" s="13" t="inlineStr">
        <is>
          <r>
            <rPr>
              <sz val="10"/>
              <rFont val="KaiTi"/>
              <family val="2"/>
            </rPr>
            <t xml:space="preserve">剔除离群后样本数</t>
          </r>
        </is>
      </c>
      <c r="B9" s="30">
        <f>SUMPRODUCT((倍数!$C$3:$C$9="Core")*ISNUMBER(倍数!F$3:F$9)*(倍数!K$3:K$9=""))</f>
        <v>4</v>
      </c>
      <c r="C9" s="30">
        <f>SUMPRODUCT((倍数!$C$3:$C$9="Core")*ISNUMBER(倍数!G$3:G$9)*(倍数!L$3:L$9=""))</f>
        <v>5</v>
      </c>
      <c r="D9" s="30">
        <f>SUMPRODUCT((倍数!$C$3:$C$9="Core")*ISNUMBER(倍数!H$3:H$9)*(倍数!M$3:M$9=""))</f>
        <v>5</v>
      </c>
      <c r="E9" s="30">
        <f>SUMPRODUCT((倍数!$C$3:$C$9="Core")*ISNUMBER(倍数!I$3:I$9)*(倍数!N$3:N$9=""))</f>
        <v>5</v>
      </c>
      <c r="F9" s="30">
        <f>SUMPRODUCT((倍数!$C$3:$C$9="Core")*ISNUMBER(倍数!J$3:J$9)*(倍数!O$3:O$9=""))</f>
        <v>5</v>
      </c>
    </row>
    <row r="10" ht="16" customHeight="1">
      <c r="A10" s="13" t="inlineStr">
        <is>
          <r>
            <rPr>
              <sz val="10"/>
              <rFont val="KaiTi"/>
              <family val="2"/>
            </rPr>
            <t xml:space="preserve">剔除离群后中位数</t>
          </r>
        </is>
      </c>
      <c r="B10" s="27">
        <f t="array" ref="B10">IF(B9=0,"",MEDIAN(IF((倍数!$C$3:$C$9="Core")*ISNUMBER(倍数!F$3:F$9)*(倍数!K$3:K$9=""),倍数!F$3:F$9)))</f>
        <v>2.238770325203252</v>
      </c>
      <c r="C10" s="27">
        <f t="array" ref="C10">IF(C9=0,"",MEDIAN(IF((倍数!$C$3:$C$9="Core")*ISNUMBER(倍数!G$3:G$9)*(倍数!L$3:L$9=""),倍数!G$3:G$9)))</f>
        <v>11.547826086956523</v>
      </c>
      <c r="D10" s="27">
        <f t="array" ref="D10">IF(D9=0,"",MEDIAN(IF((倍数!$C$3:$C$9="Core")*ISNUMBER(倍数!H$3:H$9)*(倍数!M$3:M$9=""),倍数!H$3:H$9)))</f>
        <v>14.9375</v>
      </c>
      <c r="E10" s="27">
        <f t="array" ref="E10">IF(E9=0,"",MEDIAN(IF((倍数!$C$3:$C$9="Core")*ISNUMBER(倍数!I$3:I$9)*(倍数!N$3:N$9=""),倍数!I$3:I$9)))</f>
        <v>19.78723404255319</v>
      </c>
      <c r="F10" s="27">
        <f t="array" ref="F10">IF(F9=0,"",MEDIAN(IF((倍数!$C$3:$C$9="Core")*ISNUMBER(倍数!J$3:J$9)*(倍数!O$3:O$9=""),倍数!J$3:J$9)))</f>
        <v>17.714285714285715</v>
      </c>
    </row>
    <row r="11" ht="16" customHeight="1">
      <c r="A11" s="13" t="inlineStr">
        <is>
          <r>
            <rPr>
              <sz val="10"/>
              <rFont val="KaiTi"/>
              <family val="2"/>
            </rPr>
            <t xml:space="preserve">剔除离群后 </t>
          </r>
          <r>
            <rPr>
              <sz val="10"/>
              <rFont val="Arial"/>
              <family val="2"/>
            </rPr>
            <t xml:space="preserve">P25</t>
          </r>
        </is>
      </c>
      <c r="B11" s="27">
        <f t="array" ref="B11">IF(B9=0,"",QUARTILE(IF((倍数!$C$3:$C$9="Core")*ISNUMBER(倍数!F$3:F$9)*(倍数!K$3:K$9=""),倍数!F$3:F$9),1))</f>
        <v>2.136359126984127</v>
      </c>
      <c r="C11" s="27">
        <f t="array" ref="C11">IF(C9=0,"",QUARTILE(IF((倍数!$C$3:$C$9="Core")*ISNUMBER(倍数!G$3:G$9)*(倍数!L$3:L$9=""),倍数!G$3:G$9),1))</f>
        <v>10.3</v>
      </c>
      <c r="D11" s="27">
        <f t="array" ref="D11">IF(D9=0,"",QUARTILE(IF((倍数!$C$3:$C$9="Core")*ISNUMBER(倍数!H$3:H$9)*(倍数!M$3:M$9=""),倍数!H$3:H$9),1))</f>
        <v>13.434782608695652</v>
      </c>
      <c r="E11" s="27">
        <f t="array" ref="E11">IF(E9=0,"",QUARTILE(IF((倍数!$C$3:$C$9="Core")*ISNUMBER(倍数!I$3:I$9)*(倍数!N$3:N$9=""),倍数!I$3:I$9),1))</f>
        <v>18.29268292682927</v>
      </c>
      <c r="F11" s="27">
        <f t="array" ref="F11">IF(F9=0,"",QUARTILE(IF((倍数!$C$3:$C$9="Core")*ISNUMBER(倍数!J$3:J$9)*(倍数!O$3:O$9=""),倍数!J$3:J$9),1))</f>
        <v>16.129032258064516</v>
      </c>
    </row>
    <row r="12" ht="16" customHeight="1">
      <c r="A12" s="13" t="inlineStr">
        <is>
          <r>
            <rPr>
              <sz val="10"/>
              <rFont val="KaiTi"/>
              <family val="2"/>
            </rPr>
            <t xml:space="preserve">剔除离群后 </t>
          </r>
          <r>
            <rPr>
              <sz val="10"/>
              <rFont val="Arial"/>
              <family val="2"/>
            </rPr>
            <t xml:space="preserve">P75</t>
          </r>
        </is>
      </c>
      <c r="B12" s="27">
        <f t="array" ref="B12">IF(B9=0,"",QUARTILE(IF((倍数!$C$3:$C$9="Core")*ISNUMBER(倍数!F$3:F$9)*(倍数!K$3:K$9=""),倍数!F$3:F$9),3))</f>
        <v>2.4109233449477347</v>
      </c>
      <c r="C12" s="27">
        <f t="array" ref="C12">IF(C9=0,"",QUARTILE(IF((倍数!$C$3:$C$9="Core")*ISNUMBER(倍数!G$3:G$9)*(倍数!L$3:L$9=""),倍数!G$3:G$9),3))</f>
        <v>11.658536585365853</v>
      </c>
      <c r="D12" s="27">
        <f t="array" ref="D12">IF(D9=0,"",QUARTILE(IF((倍数!$C$3:$C$9="Core")*ISNUMBER(倍数!H$3:H$9)*(倍数!M$3:M$9=""),倍数!H$3:H$9),3))</f>
        <v>16.195121951219512</v>
      </c>
      <c r="E12" s="27">
        <f t="array" ref="E12">IF(E9=0,"",QUARTILE(IF((倍数!$C$3:$C$9="Core")*ISNUMBER(倍数!I$3:I$9)*(倍数!N$3:N$9=""),倍数!I$3:I$9),3))</f>
        <v>22.674418604651162</v>
      </c>
      <c r="F12" s="27">
        <f t="array" ref="F12">IF(F9=0,"",QUARTILE(IF((倍数!$C$3:$C$9="Core")*ISNUMBER(倍数!J$3:J$9)*(倍数!O$3:O$9=""),倍数!J$3:J$9),3))</f>
        <v>20.061728395061728</v>
      </c>
    </row>
    <row r="13" ht="16" customHeight="1">
      <c r="A13" s="13" t="inlineStr">
        <is>
          <r>
            <rPr>
              <sz val="10"/>
              <rFont val="KaiTi"/>
              <family val="2"/>
            </rPr>
            <t xml:space="preserve">核心</t>
          </r>
          <r>
            <rPr>
              <sz val="10"/>
              <rFont val="Arial"/>
              <family val="2"/>
            </rPr>
            <t xml:space="preserve">+</t>
          </r>
          <r>
            <rPr>
              <sz val="10"/>
              <rFont val="KaiTi"/>
              <family val="2"/>
            </rPr>
            <t xml:space="preserve">次要 样本数</t>
          </r>
        </is>
      </c>
      <c r="B13" s="30">
        <f>SUMPRODUCT(((倍数!$C$3:$C$9="Core")+(倍数!$C$3:$C$9="Secondary"))*ISNUMBER(倍数!F$3:F$9))</f>
        <v>6</v>
      </c>
      <c r="C13" s="30">
        <f>SUMPRODUCT(((倍数!$C$3:$C$9="Core")+(倍数!$C$3:$C$9="Secondary"))*ISNUMBER(倍数!G$3:G$9))</f>
        <v>6</v>
      </c>
      <c r="D13" s="30">
        <f>SUMPRODUCT(((倍数!$C$3:$C$9="Core")+(倍数!$C$3:$C$9="Secondary"))*ISNUMBER(倍数!H$3:H$9))</f>
        <v>6</v>
      </c>
      <c r="E13" s="30">
        <f>SUMPRODUCT(((倍数!$C$3:$C$9="Core")+(倍数!$C$3:$C$9="Secondary"))*ISNUMBER(倍数!I$3:I$9))</f>
        <v>6</v>
      </c>
      <c r="F13" s="30">
        <f>SUMPRODUCT(((倍数!$C$3:$C$9="Core")+(倍数!$C$3:$C$9="Secondary"))*ISNUMBER(倍数!J$3:J$9))</f>
        <v>6</v>
      </c>
    </row>
    <row r="14" ht="16" customHeight="1">
      <c r="A14" s="13" t="inlineStr">
        <is>
          <r>
            <rPr>
              <sz val="10"/>
              <rFont val="KaiTi"/>
              <family val="2"/>
            </rPr>
            <t xml:space="preserve">核心</t>
          </r>
          <r>
            <rPr>
              <sz val="10"/>
              <rFont val="Arial"/>
              <family val="2"/>
            </rPr>
            <t xml:space="preserve">+</t>
          </r>
          <r>
            <rPr>
              <sz val="10"/>
              <rFont val="KaiTi"/>
              <family val="2"/>
            </rPr>
            <t xml:space="preserve">次要 中位数</t>
          </r>
        </is>
      </c>
      <c r="B14" s="27">
        <f t="array" ref="B14">IF(B13=0,"",MEDIAN(IF(((倍数!$C$3:$C$9="Core")+(倍数!$C$3:$C$9="Secondary"))*ISNUMBER(倍数!F$3:F$9),倍数!F$3:F$9)))</f>
        <v>2.238770325203252</v>
      </c>
      <c r="C14" s="27">
        <f t="array" ref="C14">IF(C13=0,"",MEDIAN(IF(((倍数!$C$3:$C$9="Core")+(倍数!$C$3:$C$9="Secondary"))*ISNUMBER(倍数!G$3:G$9),倍数!G$3:G$9)))</f>
        <v>11.603181336161189</v>
      </c>
      <c r="D14" s="27">
        <f t="array" ref="D14">IF(D13=0,"",MEDIAN(IF(((倍数!$C$3:$C$9="Core")+(倍数!$C$3:$C$9="Secondary"))*ISNUMBER(倍数!H$3:H$9),倍数!H$3:H$9)))</f>
        <v>15.566310975609756</v>
      </c>
      <c r="E14" s="27">
        <f t="array" ref="E14">IF(E13=0,"",MEDIAN(IF(((倍数!$C$3:$C$9="Core")+(倍数!$C$3:$C$9="Secondary"))*ISNUMBER(倍数!I$3:I$9),倍数!I$3:I$9)))</f>
        <v>21.230826323602177</v>
      </c>
      <c r="F14" s="27">
        <f t="array" ref="F14">IF(F13=0,"",MEDIAN(IF(((倍数!$C$3:$C$9="Core")+(倍数!$C$3:$C$9="Secondary"))*ISNUMBER(倍数!J$3:J$9),倍数!J$3:J$9)))</f>
        <v>18.88800705467372</v>
      </c>
    </row>
    <row r="15" ht="16" customHeight="1">
      <c r="A15" s="14" t="inlineStr">
        <is>
          <r>
            <rPr>
              <sz val="10"/>
              <rFont val="KaiTi"/>
              <family val="2"/>
            </rPr>
            <t xml:space="preserve">目标公司倍数</t>
          </r>
        </is>
      </c>
      <c r="B15" s="31">
        <f>倍数!F2</f>
        <v>1.8587457852986398</v>
      </c>
      <c r="C15" s="31">
        <f>倍数!G2</f>
        <v>10.078059969293944</v>
      </c>
      <c r="D15" s="31">
        <f>倍数!H2</f>
        <v>14.710821903013281</v>
      </c>
      <c r="E15" s="31">
        <f>倍数!I2</f>
        <v>16.721643424017767</v>
      </c>
      <c r="F15" s="31" t="str">
        <f>倍数!J2</f>
        <v/>
      </c>
    </row>
    <row r="16" ht="16" customHeight="1">
      <c r="A16" s="13" t="inlineStr">
        <is>
          <r>
            <rPr>
              <sz val="10"/>
              <rFont val="KaiTi"/>
              <family val="2"/>
            </rPr>
            <t xml:space="preserve">目标相对核心中位数溢价</t>
          </r>
        </is>
      </c>
      <c r="B16" s="32">
        <f>IF(AND(ISNUMBER(B15),ISNUMBER(B3)),IF(B3&lt;&gt;0,B15/B3-1,""),"")</f>
        <v>-0.13378837189966308</v>
      </c>
      <c r="C16" s="32">
        <f>IF(AND(ISNUMBER(C15),ISNUMBER(C3)),IF(C3&lt;&gt;0,C15/C3-1,""),"")</f>
        <v>-0.12727643338192507</v>
      </c>
      <c r="D16" s="32">
        <f>IF(AND(ISNUMBER(D15),ISNUMBER(D3)),IF(D3&lt;&gt;0,D15/D3-1,""),"")</f>
        <v>-0.015175102727144396</v>
      </c>
      <c r="E16" s="32">
        <f>IF(AND(ISNUMBER(E15),ISNUMBER(E3)),IF(E3&lt;&gt;0,E15/E3-1,""),"")</f>
        <v>-0.15492769792598382</v>
      </c>
      <c r="F16" s="32" t="str">
        <f>IF(AND(ISNUMBER(F15),ISNUMBER(F3)),IF(F3&lt;&gt;0,F15/F3-1,""),"")</f>
        <v/>
      </c>
    </row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1" topLeftCell="B2" activePane="bottomRight" state="frozen"/>
      <selection pane="bottomRight" activeCell="B2" sqref="B2"/>
    </sheetView>
  </sheetViews>
  <sheetFormatPr defaultRowHeight="16"/>
  <cols>
    <col min="1" max="1" width="44.0" customWidth="1"/>
    <col min="2" max="2" width="13.5" customWidth="1"/>
    <col min="3" max="3" width="13.5" customWidth="1"/>
    <col min="4" max="4" width="11.5" customWidth="1"/>
    <col min="5" max="5" width="12.5" customWidth="1"/>
    <col min="6" max="6" width="11.5" customWidth="1"/>
  </cols>
  <sheetData>
    <row r="1" ht="3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倍数</t>
          </r>
        </is>
      </c>
      <c r="B1" s="5" t="inlineStr">
        <is>
          <r>
            <rPr>
              <b/>
              <sz val="10"/>
              <color rgb="FFFFFFFF"/>
              <rFont val="KaiTi"/>
              <family val="2"/>
            </rPr>
            <t xml:space="preserve">目标公司分母（百万元）</t>
          </r>
        </is>
      </c>
      <c r="C1" s="5" t="inlineStr">
        <is>
          <r>
            <rPr>
              <b/>
              <sz val="10"/>
              <color rgb="FFFFFFFF"/>
              <rFont val="KaiTi"/>
              <family val="2"/>
            </rPr>
            <t xml:space="preserve">核心样本数（剔除离群）</t>
          </r>
        </is>
      </c>
      <c r="D1" s="5" t="inlineStr">
        <is>
          <r>
            <rPr>
              <b/>
              <sz val="10"/>
              <color rgb="FFFFFFFF"/>
              <rFont val="Arial"/>
              <family val="2"/>
            </rPr>
            <t xml:space="preserve">P25 </t>
          </r>
          <r>
            <rPr>
              <b/>
              <sz val="10"/>
              <color rgb="FFFFFFFF"/>
              <rFont val="KaiTi"/>
              <family val="2"/>
            </rPr>
            <t xml:space="preserve">隐含股价（元）</t>
          </r>
        </is>
      </c>
      <c r="E1" s="5" t="inlineStr">
        <is>
          <r>
            <rPr>
              <b/>
              <sz val="10"/>
              <color rgb="FFFFFFFF"/>
              <rFont val="KaiTi"/>
              <family val="2"/>
            </rPr>
            <t xml:space="preserve">中位数隐含股价（元）</t>
          </r>
        </is>
      </c>
      <c r="F1" s="5" t="inlineStr">
        <is>
          <r>
            <rPr>
              <b/>
              <sz val="10"/>
              <color rgb="FFFFFFFF"/>
              <rFont val="Arial"/>
              <family val="2"/>
            </rPr>
            <t xml:space="preserve">P75 </t>
          </r>
          <r>
            <rPr>
              <b/>
              <sz val="10"/>
              <color rgb="FFFFFFFF"/>
              <rFont val="KaiTi"/>
              <family val="2"/>
            </rPr>
            <t xml:space="preserve">隐含股价（元）</t>
          </r>
        </is>
      </c>
    </row>
    <row r="2" ht="16" customHeight="1">
      <c r="A2" s="13" t="inlineStr">
        <is>
          <t xml:space="preserve">EV/EBITDA</t>
        </is>
      </c>
      <c r="B2" s="33">
        <f>同业数据!K2</f>
        <v>1081.22</v>
      </c>
      <c r="C2" s="34">
        <f>统计!C9</f>
        <v>5</v>
      </c>
      <c r="D2" s="35">
        <f>IF(AND(ISNUMBER(统计!C11),ISNUMBER($B2)),IF(AND($B2&gt;0,N($B$6)&lt;&gt;0),(统计!C11*$B2-$B$5)/$B$6,""),"")</f>
        <v>13.0999575</v>
      </c>
      <c r="E2" s="35">
        <f>IF(AND(ISNUMBER(统计!C10),ISNUMBER($B2)),IF(AND($B2&gt;0,N($B$6)&lt;&gt;0),(统计!C10*$B2-$B$5)/$B$6,""),"")</f>
        <v>14.786425652173914</v>
      </c>
      <c r="F2" s="35">
        <f>IF(AND(ISNUMBER(统计!C12),ISNUMBER($B2)),IF(AND($B2&gt;0,N($B$6)&lt;&gt;0),(统计!C12*$B2-$B$5)/$B$6,""),"")</f>
        <v>14.936053658536585</v>
      </c>
    </row>
    <row r="3" ht="16" customHeight="1">
      <c r="A3" s="13" t="inlineStr">
        <is>
          <r>
            <rPr>
              <sz val="10"/>
              <rFont val="Arial"/>
              <family val="2"/>
            </rPr>
            <t xml:space="preserve">P/E</t>
          </r>
          <r>
            <rPr>
              <sz val="10"/>
              <rFont val="KaiTi"/>
              <family val="2"/>
            </rPr>
            <t xml:space="preserve">（</t>
          </r>
          <r>
            <rPr>
              <sz val="10"/>
              <rFont val="Arial"/>
              <family val="2"/>
            </rPr>
            <t xml:space="preserve">LTM</t>
          </r>
          <r>
            <rPr>
              <sz val="10"/>
              <rFont val="KaiTi"/>
              <family val="2"/>
            </rPr>
            <t xml:space="preserve">）</t>
          </r>
        </is>
      </c>
      <c r="B3" s="33">
        <f>同业数据!M2</f>
        <v>612.38</v>
      </c>
      <c r="C3" s="34">
        <f>统计!E9</f>
        <v>5</v>
      </c>
      <c r="D3" s="35">
        <f>IF(AND(ISNUMBER(统计!E11),ISNUMBER($B3)),IF(AND($B3&gt;0,N($B$6)&lt;&gt;0),统计!E11*$B3/$B$6,""),"")</f>
        <v>14.002591463414635</v>
      </c>
      <c r="E3" s="35">
        <f>IF(AND(ISNUMBER(统计!E10),ISNUMBER($B3)),IF(AND($B3&gt;0,N($B$6)&lt;&gt;0),统计!E10*$B3/$B$6,""),"")</f>
        <v>15.146632978723403</v>
      </c>
      <c r="F3" s="35">
        <f>IF(AND(ISNUMBER(统计!E12),ISNUMBER($B3)),IF(AND($B3&gt;0,N($B$6)&lt;&gt;0),统计!E12*$B3/$B$6,""),"")</f>
        <v>17.356700581395348</v>
      </c>
    </row>
    <row r="4" ht="16" customHeight="1"/>
    <row r="5" ht="16" customHeight="1">
      <c r="A5" s="13" t="inlineStr">
        <is>
          <r>
            <rPr>
              <sz val="10"/>
              <rFont val="KaiTi"/>
              <family val="2"/>
            </rPr>
            <t xml:space="preserve">股权桥调整（有息负债</t>
          </r>
          <r>
            <rPr>
              <sz val="10"/>
              <rFont val="Arial"/>
              <family val="2"/>
            </rPr>
            <t xml:space="preserve">+</t>
          </r>
          <r>
            <rPr>
              <sz val="10"/>
              <rFont val="KaiTi"/>
              <family val="2"/>
            </rPr>
            <t xml:space="preserve">少数股东权益</t>
          </r>
          <r>
            <rPr>
              <sz val="10"/>
              <rFont val="Arial"/>
              <family val="2"/>
            </rPr>
            <t xml:space="preserve">−</t>
          </r>
          <r>
            <rPr>
              <sz val="10"/>
              <rFont val="KaiTi"/>
              <family val="2"/>
            </rPr>
            <t xml:space="preserve">现金</t>
          </r>
          <r>
            <rPr>
              <sz val="10"/>
              <rFont val="Arial"/>
              <family val="2"/>
            </rPr>
            <t xml:space="preserve">−</t>
          </r>
          <r>
            <rPr>
              <sz val="10"/>
              <rFont val="KaiTi"/>
              <family val="2"/>
            </rPr>
            <t xml:space="preserve">非经营性资产，百万元）</t>
          </r>
        </is>
      </c>
      <c r="B5" s="36">
        <f>N(同业数据!F2)+N(同业数据!G2)-N(同业数据!H2)-N(同业数据!I2)</f>
        <v>656.5999999999999</v>
      </c>
    </row>
    <row r="6" ht="16" customHeight="1">
      <c r="A6" s="13" t="inlineStr">
        <is>
          <r>
            <rPr>
              <sz val="10"/>
              <rFont val="KaiTi"/>
              <family val="2"/>
            </rPr>
            <t xml:space="preserve">目标公司股本（百万股）</t>
          </r>
        </is>
      </c>
      <c r="B6" s="33">
        <f>同业数据!E2</f>
        <v>800.0</v>
      </c>
    </row>
    <row r="7" ht="16" customHeight="1"/>
    <row r="8" ht="30" customHeight="1">
      <c r="A8" s="5" t="inlineStr">
        <is>
          <r>
            <rPr>
              <b/>
              <sz val="10"/>
              <color rgb="FFFFFFFF"/>
              <rFont val="KaiTi"/>
              <family val="2"/>
            </rPr>
            <t xml:space="preserve">估值区间</t>
          </r>
        </is>
      </c>
      <c r="B8" s="5" t="inlineStr">
        <is>
          <r>
            <rPr>
              <b/>
              <sz val="10"/>
              <color rgb="FFFFFFFF"/>
              <rFont val="KaiTi"/>
              <family val="2"/>
            </rPr>
            <t xml:space="preserve">低（</t>
          </r>
          <r>
            <rPr>
              <b/>
              <sz val="10"/>
              <color rgb="FFFFFFFF"/>
              <rFont val="Arial"/>
              <family val="2"/>
            </rPr>
            <t xml:space="preserve">P25 </t>
          </r>
          <r>
            <rPr>
              <b/>
              <sz val="10"/>
              <color rgb="FFFFFFFF"/>
              <rFont val="KaiTi"/>
              <family val="2"/>
            </rPr>
            <t xml:space="preserve">最小值）</t>
          </r>
        </is>
      </c>
      <c r="C8" s="5" t="inlineStr">
        <is>
          <r>
            <rPr>
              <b/>
              <sz val="10"/>
              <color rgb="FFFFFFFF"/>
              <rFont val="KaiTi"/>
              <family val="2"/>
            </rPr>
            <t xml:space="preserve">中（中位数的中位数）</t>
          </r>
        </is>
      </c>
      <c r="D8" s="5" t="inlineStr">
        <is>
          <r>
            <rPr>
              <b/>
              <sz val="10"/>
              <color rgb="FFFFFFFF"/>
              <rFont val="KaiTi"/>
              <family val="2"/>
            </rPr>
            <t xml:space="preserve">高（</t>
          </r>
          <r>
            <rPr>
              <b/>
              <sz val="10"/>
              <color rgb="FFFFFFFF"/>
              <rFont val="Arial"/>
              <family val="2"/>
            </rPr>
            <t xml:space="preserve">P75 </t>
          </r>
          <r>
            <rPr>
              <b/>
              <sz val="10"/>
              <color rgb="FFFFFFFF"/>
              <rFont val="KaiTi"/>
              <family val="2"/>
            </rPr>
            <t xml:space="preserve">最大值）</t>
          </r>
        </is>
      </c>
    </row>
    <row r="9" ht="16" customHeight="1">
      <c r="A9" s="14" t="inlineStr">
        <is>
          <r>
            <rPr>
              <sz val="10"/>
              <rFont val="KaiTi"/>
              <family val="2"/>
            </rPr>
            <t xml:space="preserve">隐含股价（元）</t>
          </r>
        </is>
      </c>
      <c r="B9" s="37">
        <f>IF(COUNT(D2:D3)=0,"",MIN(D2:D3))</f>
        <v>13.0999575</v>
      </c>
      <c r="C9" s="37">
        <f>IF(COUNT(E2:E3)=0,"",MEDIAN(E2:E3))</f>
        <v>14.966529315448659</v>
      </c>
      <c r="D9" s="37">
        <f>IF(COUNT(F2:F3)=0,"",MAX(F2:F3))</f>
        <v>17.356700581395348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topLeftCell="B1" activePane="topRight" state="frozen"/>
      <selection pane="topRight" activeCell="B1" sqref="B1"/>
    </sheetView>
  </sheetViews>
  <sheetFormatPr defaultRowHeight="16"/>
  <cols>
    <col min="1" max="1" width="14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  <col min="7" max="7" width="10.0" customWidth="1"/>
  </cols>
  <sheetData>
    <row r="1" ht="16" customHeight="1">
      <c r="A1" s="38" t="inlineStr">
        <is>
          <r>
            <rPr>
              <b/>
              <sz val="10"/>
              <rFont val="Arial"/>
              <family val="2"/>
            </rPr>
            <t xml:space="preserve">EV/EBITDA </t>
          </r>
          <r>
            <rPr>
              <b/>
              <sz val="10"/>
              <rFont val="KaiTi"/>
              <family val="2"/>
            </rPr>
            <t xml:space="preserve">倍数 </t>
          </r>
          <r>
            <rPr>
              <b/>
              <sz val="10"/>
              <rFont val="Arial"/>
              <family val="2"/>
            </rPr>
            <t xml:space="preserve">× EBITDA </t>
          </r>
          <r>
            <rPr>
              <b/>
              <sz val="10"/>
              <rFont val="KaiTi"/>
              <family val="2"/>
            </rPr>
            <t xml:space="preserve">变动 </t>
          </r>
          <r>
            <rPr>
              <b/>
              <sz val="10"/>
              <rFont val="Arial"/>
              <family val="2"/>
            </rPr>
            <t xml:space="preserve">→ </t>
          </r>
          <r>
            <rPr>
              <b/>
              <sz val="10"/>
              <rFont val="KaiTi"/>
              <family val="2"/>
            </rPr>
            <t xml:space="preserve">隐含股价（元）</t>
          </r>
        </is>
      </c>
      <c r="B1" s="38"/>
      <c r="C1" s="38"/>
      <c r="D1" s="38"/>
      <c r="E1" s="38"/>
      <c r="F1" s="38"/>
      <c r="G1" s="38"/>
    </row>
    <row r="2" ht="30" customHeight="1">
      <c r="A2" s="5" t="inlineStr">
        <is>
          <r>
            <rPr>
              <b/>
              <sz val="10"/>
              <color rgb="FFFFFFFF"/>
              <rFont val="KaiTi"/>
              <family val="2"/>
            </rPr>
            <t xml:space="preserve">倍数档位</t>
          </r>
        </is>
      </c>
      <c r="B2" s="5" t="inlineStr">
        <is>
          <r>
            <rPr>
              <b/>
              <sz val="10"/>
              <color rgb="FFFFFFFF"/>
              <rFont val="KaiTi"/>
              <family val="2"/>
            </rPr>
            <t xml:space="preserve">倍数</t>
          </r>
        </is>
      </c>
      <c r="C2" s="5" t="inlineStr">
        <is>
          <t xml:space="preserve">EBITDA -10%</t>
        </is>
      </c>
      <c r="D2" s="5" t="inlineStr">
        <is>
          <t xml:space="preserve">EBITDA -5%</t>
        </is>
      </c>
      <c r="E2" s="5" t="inlineStr">
        <is>
          <t xml:space="preserve">EBITDA +0%</t>
        </is>
      </c>
      <c r="F2" s="5" t="inlineStr">
        <is>
          <t xml:space="preserve">EBITDA +5%</t>
        </is>
      </c>
      <c r="G2" s="5" t="inlineStr">
        <is>
          <t xml:space="preserve">EBITDA +10%</t>
        </is>
      </c>
    </row>
    <row r="3" ht="16" customHeight="1">
      <c r="A3" s="13"/>
      <c r="B3" s="13" t="inlineStr">
        <is>
          <r>
            <rPr>
              <sz val="10"/>
              <rFont val="KaiTi"/>
              <family val="2"/>
            </rPr>
            <t xml:space="preserve">变动</t>
          </r>
        </is>
      </c>
      <c r="C3" s="39">
        <v>-0.1</v>
      </c>
      <c r="D3" s="39">
        <v>-0.05</v>
      </c>
      <c r="E3" s="39">
        <v>0.0</v>
      </c>
      <c r="F3" s="39">
        <v>0.05</v>
      </c>
      <c r="G3" s="39">
        <v>0.1</v>
      </c>
    </row>
    <row r="4" ht="16" customHeight="1">
      <c r="A4" s="13" t="inlineStr">
        <is>
          <t xml:space="preserve">P25</t>
        </is>
      </c>
      <c r="B4" s="10">
        <f>统计!C11</f>
        <v>10.3</v>
      </c>
      <c r="C4" s="35">
        <f>IF(AND(ISNUMBER($B4),ISNUMBER(隐含股价!$B$2)),IF(N(隐含股价!$B$6)&lt;&gt;0,($B4*隐含股价!$B$2*(1+C$3)-隐含股价!$B$5)/隐含股价!$B$6,""),"")</f>
        <v>11.70788675</v>
      </c>
      <c r="D4" s="35">
        <f>IF(AND(ISNUMBER($B4),ISNUMBER(隐含股价!$B$2)),IF(N(隐含股价!$B$6)&lt;&gt;0,($B4*隐含股价!$B$2*(1+D$3)-隐含股价!$B$5)/隐含股价!$B$6,""),"")</f>
        <v>12.403922125</v>
      </c>
      <c r="E4" s="35">
        <f>IF(AND(ISNUMBER($B4),ISNUMBER(隐含股价!$B$2)),IF(N(隐含股价!$B$6)&lt;&gt;0,($B4*隐含股价!$B$2*(1+E$3)-隐含股价!$B$5)/隐含股价!$B$6,""),"")</f>
        <v>13.0999575</v>
      </c>
      <c r="F4" s="35">
        <f>IF(AND(ISNUMBER($B4),ISNUMBER(隐含股价!$B$2)),IF(N(隐含股价!$B$6)&lt;&gt;0,($B4*隐含股价!$B$2*(1+F$3)-隐含股价!$B$5)/隐含股价!$B$6,""),"")</f>
        <v>13.795992875000001</v>
      </c>
      <c r="G4" s="35">
        <f>IF(AND(ISNUMBER($B4),ISNUMBER(隐含股价!$B$2)),IF(N(隐含股价!$B$6)&lt;&gt;0,($B4*隐含股价!$B$2*(1+G$3)-隐含股价!$B$5)/隐含股价!$B$6,""),"")</f>
        <v>14.49202825</v>
      </c>
    </row>
    <row r="5" ht="16" customHeight="1">
      <c r="A5" s="14" t="inlineStr">
        <is>
          <r>
            <rPr>
              <sz val="10"/>
              <rFont val="KaiTi"/>
              <family val="2"/>
            </rPr>
            <t xml:space="preserve">中位数</t>
          </r>
        </is>
      </c>
      <c r="B5" s="31">
        <f>统计!C10</f>
        <v>11.547826086956523</v>
      </c>
      <c r="C5" s="37">
        <f>IF(AND(ISNUMBER($B5),ISNUMBER(隐含股价!$B$2)),IF(N(隐含股价!$B$6)&lt;&gt;0,($B5*隐含股价!$B$2*(1+C$3)-隐含股价!$B$5)/隐含股价!$B$6,""),"")</f>
        <v>13.225708086956523</v>
      </c>
      <c r="D5" s="37">
        <f>IF(AND(ISNUMBER($B5),ISNUMBER(隐含股价!$B$2)),IF(N(隐含股价!$B$6)&lt;&gt;0,($B5*隐含股价!$B$2*(1+D$3)-隐含股价!$B$5)/隐含股价!$B$6,""),"")</f>
        <v>14.006066869565219</v>
      </c>
      <c r="E5" s="37">
        <f>IF(AND(ISNUMBER($B5),ISNUMBER(隐含股价!$B$2)),IF(N(隐含股价!$B$6)&lt;&gt;0,($B5*隐含股价!$B$2*(1+E$3)-隐含股价!$B$5)/隐含股价!$B$6,""),"")</f>
        <v>14.786425652173914</v>
      </c>
      <c r="F5" s="37">
        <f>IF(AND(ISNUMBER($B5),ISNUMBER(隐含股价!$B$2)),IF(N(隐含股价!$B$6)&lt;&gt;0,($B5*隐含股价!$B$2*(1+F$3)-隐含股价!$B$5)/隐含股价!$B$6,""),"")</f>
        <v>15.56678443478261</v>
      </c>
      <c r="G5" s="37">
        <f>IF(AND(ISNUMBER($B5),ISNUMBER(隐含股价!$B$2)),IF(N(隐含股价!$B$6)&lt;&gt;0,($B5*隐含股价!$B$2*(1+G$3)-隐含股价!$B$5)/隐含股价!$B$6,""),"")</f>
        <v>16.347143217391306</v>
      </c>
    </row>
    <row r="6" ht="16" customHeight="1">
      <c r="A6" s="13" t="inlineStr">
        <is>
          <t xml:space="preserve">P75</t>
        </is>
      </c>
      <c r="B6" s="10">
        <f>统计!C12</f>
        <v>11.658536585365853</v>
      </c>
      <c r="C6" s="35">
        <f>IF(AND(ISNUMBER($B6),ISNUMBER(隐含股价!$B$2)),IF(N(隐含股价!$B$6)&lt;&gt;0,($B6*隐含股价!$B$2*(1+C$3)-隐含股价!$B$5)/隐含股价!$B$6,""),"")</f>
        <v>13.360373292682926</v>
      </c>
      <c r="D6" s="35">
        <f>IF(AND(ISNUMBER($B6),ISNUMBER(隐含股价!$B$2)),IF(N(隐含股价!$B$6)&lt;&gt;0,($B6*隐含股价!$B$2*(1+D$3)-隐含股价!$B$5)/隐含股价!$B$6,""),"")</f>
        <v>14.148213475609754</v>
      </c>
      <c r="E6" s="35">
        <f>IF(AND(ISNUMBER($B6),ISNUMBER(隐含股价!$B$2)),IF(N(隐含股价!$B$6)&lt;&gt;0,($B6*隐含股价!$B$2*(1+E$3)-隐含股价!$B$5)/隐含股价!$B$6,""),"")</f>
        <v>14.936053658536585</v>
      </c>
      <c r="F6" s="35">
        <f>IF(AND(ISNUMBER($B6),ISNUMBER(隐含股价!$B$2)),IF(N(隐含股价!$B$6)&lt;&gt;0,($B6*隐含股价!$B$2*(1+F$3)-隐含股价!$B$5)/隐含股价!$B$6,""),"")</f>
        <v>15.723893841463415</v>
      </c>
      <c r="G6" s="35">
        <f>IF(AND(ISNUMBER($B6),ISNUMBER(隐含股价!$B$2)),IF(N(隐含股价!$B$6)&lt;&gt;0,($B6*隐含股价!$B$2*(1+G$3)-隐含股价!$B$5)/隐含股价!$B$6,""),"")</f>
        <v>16.511734024390243</v>
      </c>
    </row>
    <row r="7" ht="16" customHeight="1"/>
    <row r="8" ht="16" customHeight="1">
      <c r="A8" s="38" t="inlineStr">
        <is>
          <r>
            <rPr>
              <b/>
              <sz val="10"/>
              <rFont val="Arial"/>
              <family val="2"/>
            </rPr>
            <t xml:space="preserve">P/E</t>
          </r>
          <r>
            <rPr>
              <b/>
              <sz val="10"/>
              <rFont val="KaiTi"/>
              <family val="2"/>
            </rPr>
            <t xml:space="preserve">（</t>
          </r>
          <r>
            <rPr>
              <b/>
              <sz val="10"/>
              <rFont val="Arial"/>
              <family val="2"/>
            </rPr>
            <t xml:space="preserve">LTM</t>
          </r>
          <r>
            <rPr>
              <b/>
              <sz val="10"/>
              <rFont val="KaiTi"/>
              <family val="2"/>
            </rPr>
            <t xml:space="preserve">）倍数 </t>
          </r>
          <r>
            <rPr>
              <b/>
              <sz val="10"/>
              <rFont val="Arial"/>
              <family val="2"/>
            </rPr>
            <t xml:space="preserve">× </t>
          </r>
          <r>
            <rPr>
              <b/>
              <sz val="10"/>
              <rFont val="KaiTi"/>
              <family val="2"/>
            </rPr>
            <t xml:space="preserve">归母净利润变动 </t>
          </r>
          <r>
            <rPr>
              <b/>
              <sz val="10"/>
              <rFont val="Arial"/>
              <family val="2"/>
            </rPr>
            <t xml:space="preserve">→ </t>
          </r>
          <r>
            <rPr>
              <b/>
              <sz val="10"/>
              <rFont val="KaiTi"/>
              <family val="2"/>
            </rPr>
            <t xml:space="preserve">隐含股价（元）</t>
          </r>
        </is>
      </c>
      <c r="B8" s="38"/>
      <c r="C8" s="38"/>
      <c r="D8" s="38"/>
      <c r="E8" s="38"/>
      <c r="F8" s="38"/>
      <c r="G8" s="38"/>
    </row>
    <row r="9" ht="30" customHeight="1">
      <c r="A9" s="5" t="inlineStr">
        <is>
          <r>
            <rPr>
              <b/>
              <sz val="10"/>
              <color rgb="FFFFFFFF"/>
              <rFont val="KaiTi"/>
              <family val="2"/>
            </rPr>
            <t xml:space="preserve">倍数档位</t>
          </r>
        </is>
      </c>
      <c r="B9" s="5" t="inlineStr">
        <is>
          <r>
            <rPr>
              <b/>
              <sz val="10"/>
              <color rgb="FFFFFFFF"/>
              <rFont val="KaiTi"/>
              <family val="2"/>
            </rPr>
            <t xml:space="preserve">倍数</t>
          </r>
        </is>
      </c>
      <c r="C9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-10%</t>
          </r>
        </is>
      </c>
      <c r="D9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-5%</t>
          </r>
        </is>
      </c>
      <c r="E9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+0%</t>
          </r>
        </is>
      </c>
      <c r="F9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+5%</t>
          </r>
        </is>
      </c>
      <c r="G9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 </t>
          </r>
          <r>
            <rPr>
              <b/>
              <sz val="10"/>
              <color rgb="FFFFFFFF"/>
              <rFont val="Arial"/>
              <family val="2"/>
            </rPr>
            <t xml:space="preserve">+10%</t>
          </r>
        </is>
      </c>
    </row>
    <row r="10" ht="16" customHeight="1">
      <c r="A10" s="13"/>
      <c r="B10" s="13" t="inlineStr">
        <is>
          <r>
            <rPr>
              <sz val="10"/>
              <rFont val="KaiTi"/>
              <family val="2"/>
            </rPr>
            <t xml:space="preserve">变动</t>
          </r>
        </is>
      </c>
      <c r="C10" s="39">
        <v>-0.1</v>
      </c>
      <c r="D10" s="39">
        <v>-0.05</v>
      </c>
      <c r="E10" s="39">
        <v>0.0</v>
      </c>
      <c r="F10" s="39">
        <v>0.05</v>
      </c>
      <c r="G10" s="39">
        <v>0.1</v>
      </c>
    </row>
    <row r="11" ht="16" customHeight="1">
      <c r="A11" s="13" t="inlineStr">
        <is>
          <t xml:space="preserve">P25</t>
        </is>
      </c>
      <c r="B11" s="10">
        <f>统计!E11</f>
        <v>18.29268292682927</v>
      </c>
      <c r="C11" s="35">
        <f>IF(AND(ISNUMBER($B11),ISNUMBER(隐含股价!$B$3)),IF(N(隐含股价!$B$6)&lt;&gt;0,$B11*隐含股价!$B$3*(1+C$10)/隐含股价!$B$6,""),"")</f>
        <v>12.602332317073172</v>
      </c>
      <c r="D11" s="35">
        <f>IF(AND(ISNUMBER($B11),ISNUMBER(隐含股价!$B$3)),IF(N(隐含股价!$B$6)&lt;&gt;0,$B11*隐含股价!$B$3*(1+D$10)/隐含股价!$B$6,""),"")</f>
        <v>13.302461890243903</v>
      </c>
      <c r="E11" s="35">
        <f>IF(AND(ISNUMBER($B11),ISNUMBER(隐含股价!$B$3)),IF(N(隐含股价!$B$6)&lt;&gt;0,$B11*隐含股价!$B$3*(1+E$10)/隐含股价!$B$6,""),"")</f>
        <v>14.002591463414635</v>
      </c>
      <c r="F11" s="35">
        <f>IF(AND(ISNUMBER($B11),ISNUMBER(隐含股价!$B$3)),IF(N(隐含股价!$B$6)&lt;&gt;0,$B11*隐含股价!$B$3*(1+F$10)/隐含股价!$B$6,""),"")</f>
        <v>14.702721036585366</v>
      </c>
      <c r="G11" s="35">
        <f>IF(AND(ISNUMBER($B11),ISNUMBER(隐含股价!$B$3)),IF(N(隐含股价!$B$6)&lt;&gt;0,$B11*隐含股价!$B$3*(1+G$10)/隐含股价!$B$6,""),"")</f>
        <v>15.402850609756099</v>
      </c>
    </row>
    <row r="12" ht="16" customHeight="1">
      <c r="A12" s="14" t="inlineStr">
        <is>
          <r>
            <rPr>
              <sz val="10"/>
              <rFont val="KaiTi"/>
              <family val="2"/>
            </rPr>
            <t xml:space="preserve">中位数</t>
          </r>
        </is>
      </c>
      <c r="B12" s="31">
        <f>统计!E10</f>
        <v>19.78723404255319</v>
      </c>
      <c r="C12" s="37">
        <f>IF(AND(ISNUMBER($B12),ISNUMBER(隐含股价!$B$3)),IF(N(隐含股价!$B$6)&lt;&gt;0,$B12*隐含股价!$B$3*(1+C$10)/隐含股价!$B$6,""),"")</f>
        <v>13.631969680851064</v>
      </c>
      <c r="D12" s="37">
        <f>IF(AND(ISNUMBER($B12),ISNUMBER(隐含股价!$B$3)),IF(N(隐含股价!$B$6)&lt;&gt;0,$B12*隐含股价!$B$3*(1+D$10)/隐含股价!$B$6,""),"")</f>
        <v>14.389301329787232</v>
      </c>
      <c r="E12" s="37">
        <f>IF(AND(ISNUMBER($B12),ISNUMBER(隐含股价!$B$3)),IF(N(隐含股价!$B$6)&lt;&gt;0,$B12*隐含股价!$B$3*(1+E$10)/隐含股价!$B$6,""),"")</f>
        <v>15.146632978723403</v>
      </c>
      <c r="F12" s="37">
        <f>IF(AND(ISNUMBER($B12),ISNUMBER(隐含股价!$B$3)),IF(N(隐含股价!$B$6)&lt;&gt;0,$B12*隐含股价!$B$3*(1+F$10)/隐含股价!$B$6,""),"")</f>
        <v>15.903964627659574</v>
      </c>
      <c r="G12" s="37">
        <f>IF(AND(ISNUMBER($B12),ISNUMBER(隐含股价!$B$3)),IF(N(隐含股价!$B$6)&lt;&gt;0,$B12*隐含股价!$B$3*(1+G$10)/隐含股价!$B$6,""),"")</f>
        <v>16.661296276595746</v>
      </c>
    </row>
    <row r="13" ht="16" customHeight="1">
      <c r="A13" s="13" t="inlineStr">
        <is>
          <t xml:space="preserve">P75</t>
        </is>
      </c>
      <c r="B13" s="10">
        <f>统计!E12</f>
        <v>22.674418604651162</v>
      </c>
      <c r="C13" s="35">
        <f>IF(AND(ISNUMBER($B13),ISNUMBER(隐含股价!$B$3)),IF(N(隐含股价!$B$6)&lt;&gt;0,$B13*隐含股价!$B$3*(1+C$10)/隐含股价!$B$6,""),"")</f>
        <v>15.621030523255813</v>
      </c>
      <c r="D13" s="35">
        <f>IF(AND(ISNUMBER($B13),ISNUMBER(隐含股价!$B$3)),IF(N(隐含股价!$B$6)&lt;&gt;0,$B13*隐含股价!$B$3*(1+D$10)/隐含股价!$B$6,""),"")</f>
        <v>16.48886555232558</v>
      </c>
      <c r="E13" s="35">
        <f>IF(AND(ISNUMBER($B13),ISNUMBER(隐含股价!$B$3)),IF(N(隐含股价!$B$6)&lt;&gt;0,$B13*隐含股价!$B$3*(1+E$10)/隐含股价!$B$6,""),"")</f>
        <v>17.356700581395348</v>
      </c>
      <c r="F13" s="35">
        <f>IF(AND(ISNUMBER($B13),ISNUMBER(隐含股价!$B$3)),IF(N(隐含股价!$B$6)&lt;&gt;0,$B13*隐含股价!$B$3*(1+F$10)/隐含股价!$B$6,""),"")</f>
        <v>18.224535610465114</v>
      </c>
      <c r="G13" s="35">
        <f>IF(AND(ISNUMBER($B13),ISNUMBER(隐含股价!$B$3)),IF(N(隐含股价!$B$6)&lt;&gt;0,$B13*隐含股价!$B$3*(1+G$10)/隐含股价!$B$6,""),"")</f>
        <v>19.092370639534884</v>
      </c>
    </row>
    <row r="14" ht="16" customHeight="1"/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1" topLeftCell="B2" activePane="bottomRight" state="frozen"/>
      <selection pane="bottomRight" activeCell="B2" sqref="B2"/>
    </sheetView>
  </sheetViews>
  <sheetFormatPr defaultRowHeight="16"/>
  <cols>
    <col min="1" max="1" width="12.5" customWidth="1"/>
    <col min="2" max="2" width="10.5" customWidth="1"/>
    <col min="3" max="3" width="11.5" customWidth="1"/>
    <col min="4" max="4" width="12.5" customWidth="1"/>
    <col min="5" max="5" width="18.0" customWidth="1"/>
    <col min="6" max="6" width="36.0" customWidth="1"/>
    <col min="7" max="7" width="36.0" customWidth="1"/>
    <col min="8" max="8" width="10.0" customWidth="1"/>
  </cols>
  <sheetData>
    <row r="1" ht="2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代码</t>
          </r>
        </is>
      </c>
      <c r="B1" s="5" t="inlineStr">
        <is>
          <r>
            <rPr>
              <b/>
              <sz val="10"/>
              <color rgb="FFFFFFFF"/>
              <rFont val="KaiTi"/>
              <family val="2"/>
            </rPr>
            <t xml:space="preserve">公司</t>
          </r>
        </is>
      </c>
      <c r="C1" s="5" t="inlineStr">
        <is>
          <r>
            <rPr>
              <b/>
              <sz val="10"/>
              <color rgb="FFFFFFFF"/>
              <rFont val="KaiTi"/>
              <family val="2"/>
            </rPr>
            <t xml:space="preserve">分层</t>
          </r>
        </is>
      </c>
      <c r="D1" s="5" t="inlineStr">
        <is>
          <r>
            <rPr>
              <b/>
              <sz val="10"/>
              <color rgb="FFFFFFFF"/>
              <rFont val="KaiTi"/>
              <family val="2"/>
            </rPr>
            <t xml:space="preserve">数据日期</t>
          </r>
        </is>
      </c>
      <c r="E1" s="5" t="inlineStr">
        <is>
          <r>
            <rPr>
              <b/>
              <sz val="10"/>
              <color rgb="FFFFFFFF"/>
              <rFont val="KaiTi"/>
              <family val="2"/>
            </rPr>
            <t xml:space="preserve">来源</t>
          </r>
        </is>
      </c>
      <c r="F1" s="4" t="inlineStr">
        <is>
          <r>
            <rPr>
              <b/>
              <sz val="10"/>
              <color rgb="FFFFFFFF"/>
              <rFont val="KaiTi"/>
              <family val="2"/>
            </rPr>
            <t xml:space="preserve">入选理由</t>
          </r>
        </is>
      </c>
      <c r="G1" s="4" t="inlineStr">
        <is>
          <r>
            <rPr>
              <b/>
              <sz val="10"/>
              <color rgb="FFFFFFFF"/>
              <rFont val="KaiTi"/>
              <family val="2"/>
            </rPr>
            <t xml:space="preserve">剔除理由</t>
          </r>
        </is>
      </c>
      <c r="H1" s="5" t="inlineStr">
        <is>
          <r>
            <rPr>
              <b/>
              <sz val="10"/>
              <color rgb="FFFFFFFF"/>
              <rFont val="KaiTi"/>
              <family val="2"/>
            </rPr>
            <t xml:space="preserve">可信度</t>
          </r>
        </is>
      </c>
    </row>
    <row r="2">
      <c r="A2" s="24" t="str">
        <f>同业数据!A2&amp;""</f>
        <v>示例000000</v>
      </c>
      <c r="B2" s="24" t="str">
        <f>同业数据!B2&amp;""</f>
        <v>星河智造</v>
      </c>
      <c r="C2" s="25" t="str">
        <f>同业数据!C2&amp;""</f>
        <v>Target</v>
      </c>
      <c r="D2" s="25" t="str">
        <f>同业数据!O2&amp;""</f>
        <v>2025-04-30</v>
      </c>
      <c r="E2" s="24" t="str">
        <f>同业数据!P2&amp;""</f>
        <v>财报抽取 + 估值假设文件</v>
      </c>
      <c r="F2" s="40" t="str">
        <f>同业数据!Q2&amp;""</f>
        <v/>
      </c>
      <c r="G2" s="40" t="str">
        <f>同业数据!R2&amp;""</f>
        <v/>
      </c>
      <c r="H2" s="25" t="str">
        <f>同业数据!S2&amp;""</f>
        <v>high</v>
      </c>
    </row>
    <row r="3">
      <c r="A3" s="24" t="str">
        <f>同业数据!A3&amp;""</f>
        <v>示例001</v>
      </c>
      <c r="B3" s="24" t="str">
        <f>同业数据!B3&amp;""</f>
        <v>华宇装备</v>
      </c>
      <c r="C3" s="25" t="str">
        <f>同业数据!C3&amp;""</f>
        <v>Core</v>
      </c>
      <c r="D3" s="25" t="str">
        <f>同业数据!O3&amp;""</f>
        <v>2025-04-30</v>
      </c>
      <c r="E3" s="24" t="str">
        <f>同业数据!P3&amp;""</f>
        <v>样例数据（虚构）</v>
      </c>
      <c r="F3" s="41" t="str">
        <f>同业数据!Q3&amp;""</f>
        <v>同为新能源装备制造，客户结构相近</v>
      </c>
      <c r="G3" s="40" t="str">
        <f>同业数据!R3&amp;""</f>
        <v/>
      </c>
      <c r="H3" s="25" t="str">
        <f>同业数据!S3&amp;""</f>
        <v>medium</v>
      </c>
    </row>
    <row r="4">
      <c r="A4" s="24" t="str">
        <f>同业数据!A4&amp;""</f>
        <v>示例002</v>
      </c>
      <c r="B4" s="24" t="str">
        <f>同业数据!B4&amp;""</f>
        <v>东岳智能</v>
      </c>
      <c r="C4" s="25" t="str">
        <f>同业数据!C4&amp;""</f>
        <v>Core</v>
      </c>
      <c r="D4" s="25" t="str">
        <f>同业数据!O4&amp;""</f>
        <v>2025-04-30</v>
      </c>
      <c r="E4" s="24" t="str">
        <f>同业数据!P4&amp;""</f>
        <v>样例数据（虚构）</v>
      </c>
      <c r="F4" s="41" t="str">
        <f>同业数据!Q4&amp;""</f>
        <v>产品线与目标公司重合度高</v>
      </c>
      <c r="G4" s="40" t="str">
        <f>同业数据!R4&amp;""</f>
        <v/>
      </c>
      <c r="H4" s="25" t="str">
        <f>同业数据!S4&amp;""</f>
        <v>medium</v>
      </c>
    </row>
    <row r="5">
      <c r="A5" s="24" t="str">
        <f>同业数据!A5&amp;""</f>
        <v>示例003</v>
      </c>
      <c r="B5" s="24" t="str">
        <f>同业数据!B5&amp;""</f>
        <v>恒川重工</v>
      </c>
      <c r="C5" s="25" t="str">
        <f>同业数据!C5&amp;""</f>
        <v>Core</v>
      </c>
      <c r="D5" s="25" t="str">
        <f>同业数据!O5&amp;""</f>
        <v>2025-04-30</v>
      </c>
      <c r="E5" s="24" t="str">
        <f>同业数据!P5&amp;""</f>
        <v>样例数据（虚构）</v>
      </c>
      <c r="F5" s="41" t="str">
        <f>同业数据!Q5&amp;""</f>
        <v>规模更大但商业模式可比</v>
      </c>
      <c r="G5" s="40" t="str">
        <f>同业数据!R5&amp;""</f>
        <v/>
      </c>
      <c r="H5" s="25" t="str">
        <f>同业数据!S5&amp;""</f>
        <v>medium</v>
      </c>
    </row>
    <row r="6">
      <c r="A6" s="24" t="str">
        <f>同业数据!A6&amp;""</f>
        <v>示例004</v>
      </c>
      <c r="B6" s="24" t="str">
        <f>同业数据!B6&amp;""</f>
        <v>远帆新能</v>
      </c>
      <c r="C6" s="25" t="str">
        <f>同业数据!C6&amp;""</f>
        <v>Core</v>
      </c>
      <c r="D6" s="25" t="str">
        <f>同业数据!O6&amp;""</f>
        <v>2025-04-30</v>
      </c>
      <c r="E6" s="24" t="str">
        <f>同业数据!P6&amp;""</f>
        <v>样例数据（虚构）</v>
      </c>
      <c r="F6" s="41" t="str">
        <f>同业数据!Q6&amp;""</f>
        <v>细分设备龙头，增速较高</v>
      </c>
      <c r="G6" s="40" t="str">
        <f>同业数据!R6&amp;""</f>
        <v/>
      </c>
      <c r="H6" s="25" t="str">
        <f>同业数据!S6&amp;""</f>
        <v>medium</v>
      </c>
    </row>
    <row r="7">
      <c r="A7" s="24" t="str">
        <f>同业数据!A7&amp;""</f>
        <v>示例005</v>
      </c>
      <c r="B7" s="24" t="str">
        <f>同业数据!B7&amp;""</f>
        <v>启明电气</v>
      </c>
      <c r="C7" s="25" t="str">
        <f>同业数据!C7&amp;""</f>
        <v>Core</v>
      </c>
      <c r="D7" s="25" t="str">
        <f>同业数据!O7&amp;""</f>
        <v>2025-04-30</v>
      </c>
      <c r="E7" s="24" t="str">
        <f>同业数据!P7&amp;""</f>
        <v>样例数据（虚构）</v>
      </c>
      <c r="F7" s="41" t="str">
        <f>同业数据!Q7&amp;""</f>
        <v>电气设备配套，周期属性相近</v>
      </c>
      <c r="G7" s="40" t="str">
        <f>同业数据!R7&amp;""</f>
        <v/>
      </c>
      <c r="H7" s="25" t="str">
        <f>同业数据!S7&amp;""</f>
        <v>medium</v>
      </c>
    </row>
    <row r="8">
      <c r="A8" s="24" t="str">
        <f>同业数据!A8&amp;""</f>
        <v>示例006</v>
      </c>
      <c r="B8" s="24" t="str">
        <f>同业数据!B8&amp;""</f>
        <v>北辰精工</v>
      </c>
      <c r="C8" s="25" t="str">
        <f>同业数据!C8&amp;""</f>
        <v>Secondary</v>
      </c>
      <c r="D8" s="25" t="str">
        <f>同业数据!O8&amp;""</f>
        <v>2025-04-30</v>
      </c>
      <c r="E8" s="24" t="str">
        <f>同业数据!P8&amp;""</f>
        <v>样例数据（虚构）</v>
      </c>
      <c r="F8" s="41" t="str">
        <f>同业数据!Q8&amp;""</f>
        <v>精密部件，利润率显著更高</v>
      </c>
      <c r="G8" s="40" t="str">
        <f>同业数据!R8&amp;""</f>
        <v/>
      </c>
      <c r="H8" s="25" t="str">
        <f>同业数据!S8&amp;""</f>
        <v>medium</v>
      </c>
    </row>
    <row r="9">
      <c r="A9" s="24" t="str">
        <f>同业数据!A9&amp;""</f>
        <v>示例007</v>
      </c>
      <c r="B9" s="24" t="str">
        <f>同业数据!B9&amp;""</f>
        <v>海川控股</v>
      </c>
      <c r="C9" s="25" t="str">
        <f>同业数据!C9&amp;""</f>
        <v>Excluded</v>
      </c>
      <c r="D9" s="25" t="str">
        <f>同业数据!O9&amp;""</f>
        <v>2025-04-30</v>
      </c>
      <c r="E9" s="24" t="str">
        <f>同业数据!P9&amp;""</f>
        <v>样例数据（虚构）</v>
      </c>
      <c r="F9" s="40" t="str">
        <f>同业数据!Q9&amp;""</f>
        <v/>
      </c>
      <c r="G9" s="41" t="str">
        <f>同业数据!R9&amp;""</f>
        <v>多元化控股，装备业务占比不足20%且当期亏损</v>
      </c>
      <c r="H9" s="25" t="str">
        <f>同业数据!S9&amp;""</f>
        <v>low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2" ySplit="1" topLeftCell="C2" activePane="bottomRight" state="frozen"/>
      <selection pane="bottomRight" activeCell="C2" sqref="C2"/>
    </sheetView>
  </sheetViews>
  <sheetFormatPr defaultRowHeight="16"/>
  <cols>
    <col min="1" max="1" width="26.0" customWidth="1"/>
    <col min="2" max="2" width="10.5" customWidth="1"/>
    <col min="3" max="3" width="11.5" customWidth="1"/>
    <col min="4" max="4" width="11.5" customWidth="1"/>
    <col min="5" max="5" width="10.5" customWidth="1"/>
    <col min="6" max="6" width="10.5" customWidth="1"/>
    <col min="7" max="7" width="12.5" customWidth="1"/>
    <col min="8" max="8" width="10.0" customWidth="1"/>
    <col min="9" max="9" width="10.0" customWidth="1"/>
    <col min="10" max="10" width="10.0" customWidth="1"/>
  </cols>
  <sheetData>
    <row r="1" ht="30" customHeight="1">
      <c r="A1" s="5" t="inlineStr">
        <is>
          <r>
            <rPr>
              <b/>
              <sz val="10"/>
              <color rgb="FFFFFFFF"/>
              <rFont val="KaiTi"/>
              <family val="2"/>
            </rPr>
            <t xml:space="preserve">代码</t>
          </r>
        </is>
      </c>
      <c r="B1" s="5" t="inlineStr">
        <is>
          <r>
            <rPr>
              <b/>
              <sz val="10"/>
              <color rgb="FFFFFFFF"/>
              <rFont val="KaiTi"/>
              <family val="2"/>
            </rPr>
            <t xml:space="preserve">公司</t>
          </r>
        </is>
      </c>
      <c r="C1" s="5" t="inlineStr">
        <is>
          <r>
            <rPr>
              <b/>
              <sz val="10"/>
              <color rgb="FFFFFFFF"/>
              <rFont val="KaiTi"/>
              <family val="2"/>
            </rPr>
            <t xml:space="preserve">分层</t>
          </r>
        </is>
      </c>
      <c r="D1" s="5" t="inlineStr">
        <is>
          <r>
            <rPr>
              <b/>
              <sz val="10"/>
              <color rgb="FFFFFFFF"/>
              <rFont val="KaiTi"/>
              <family val="2"/>
            </rPr>
            <t xml:space="preserve">营业收入（百万元）</t>
          </r>
        </is>
      </c>
      <c r="E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EBITDA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F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</t>
          </r>
          <r>
            <rPr>
              <b/>
              <sz val="10"/>
              <color rgb="FFFFFFFF"/>
              <rFont val="KaiTi"/>
              <family val="2"/>
            </rPr>
            <t xml:space="preserve">（百万元）</t>
          </r>
        </is>
      </c>
      <c r="G1" s="5" t="inlineStr">
        <is>
          <r>
            <rPr>
              <b/>
              <sz val="10"/>
              <color rgb="FFFFFFFF"/>
              <rFont val="KaiTi"/>
              <family val="2"/>
            </rPr>
            <t xml:space="preserve">归母净利润（百万元）</t>
          </r>
        </is>
      </c>
      <c r="H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EBITDA </t>
          </r>
          <r>
            <rPr>
              <b/>
              <sz val="10"/>
              <color rgb="FFFFFFFF"/>
              <rFont val="KaiTi"/>
              <family val="2"/>
            </rPr>
            <t xml:space="preserve">利润率</t>
          </r>
        </is>
      </c>
      <c r="I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 </t>
          </r>
          <r>
            <rPr>
              <b/>
              <sz val="10"/>
              <color rgb="FFFFFFFF"/>
              <rFont val="KaiTi"/>
              <family val="2"/>
            </rPr>
            <t xml:space="preserve">利润率</t>
          </r>
        </is>
      </c>
      <c r="J1" s="5" t="inlineStr">
        <is>
          <r>
            <rPr>
              <b/>
              <sz val="10"/>
              <color rgb="FFFFFFFF"/>
              <rFont val="KaiTi"/>
              <family val="2"/>
            </rPr>
            <t xml:space="preserve">净利率</t>
          </r>
        </is>
      </c>
    </row>
    <row r="2" ht="16" customHeight="1">
      <c r="A2" s="19" t="str">
        <f>同业数据!A2</f>
        <v>示例000000</v>
      </c>
      <c r="B2" s="19" t="str">
        <f>同业数据!B2</f>
        <v>星河智造</v>
      </c>
      <c r="C2" s="20" t="str">
        <f>同业数据!C2</f>
        <v>Target</v>
      </c>
      <c r="D2" s="42">
        <f>IF(ISNUMBER(同业数据!J2),同业数据!J2,"")</f>
        <v>5862.34012536</v>
      </c>
      <c r="E2" s="42">
        <f>IF(ISNUMBER(同业数据!K2),同业数据!K2,"")</f>
        <v>1081.22</v>
      </c>
      <c r="F2" s="42">
        <f>IF(ISNUMBER(同业数据!L2),同业数据!L2,"")</f>
        <v>740.72</v>
      </c>
      <c r="G2" s="42">
        <f>IF(ISNUMBER(同业数据!M2),同业数据!M2,"")</f>
        <v>612.38</v>
      </c>
      <c r="H2" s="8">
        <f>IF(AND(ISNUMBER(D2),ISNUMBER(E2)),IF(D2&lt;=0,"NM",E2/D2),"")</f>
        <v>0.18443488041963507</v>
      </c>
      <c r="I2" s="8">
        <f>IF(AND(ISNUMBER(D2),ISNUMBER(F2)),IF(D2&lt;=0,"NM",F2/D2),"")</f>
        <v>0.12635227301051782</v>
      </c>
      <c r="J2" s="8">
        <f>IF(AND(ISNUMBER(D2),ISNUMBER(G2)),IF(D2&lt;=0,"NM",G2/D2),"")</f>
        <v>0.10445999155710783</v>
      </c>
    </row>
    <row r="3" ht="16" customHeight="1">
      <c r="A3" s="24" t="str">
        <f>同业数据!A3</f>
        <v>示例001</v>
      </c>
      <c r="B3" s="24" t="str">
        <f>同业数据!B3</f>
        <v>华宇装备</v>
      </c>
      <c r="C3" s="25" t="str">
        <f>同业数据!C3</f>
        <v>Core</v>
      </c>
      <c r="D3" s="36">
        <f>IF(ISNUMBER(同业数据!J3),同业数据!J3,"")</f>
        <v>7200.0</v>
      </c>
      <c r="E3" s="36">
        <f>IF(ISNUMBER(同业数据!K3),同业数据!K3,"")</f>
        <v>1500.0</v>
      </c>
      <c r="F3" s="36">
        <f>IF(ISNUMBER(同业数据!L3),同业数据!L3,"")</f>
        <v>1150.0</v>
      </c>
      <c r="G3" s="36">
        <f>IF(ISNUMBER(同业数据!M3),同业数据!M3,"")</f>
        <v>820.0</v>
      </c>
      <c r="H3" s="32">
        <f>IF(AND(ISNUMBER(D3),ISNUMBER(E3)),IF(D3&lt;=0,"NM",E3/D3),"")</f>
        <v>0.20833333333333334</v>
      </c>
      <c r="I3" s="32">
        <f>IF(AND(ISNUMBER(D3),ISNUMBER(F3)),IF(D3&lt;=0,"NM",F3/D3),"")</f>
        <v>0.1597222222222222</v>
      </c>
      <c r="J3" s="32">
        <f>IF(AND(ISNUMBER(D3),ISNUMBER(G3)),IF(D3&lt;=0,"NM",G3/D3),"")</f>
        <v>0.11388888888888889</v>
      </c>
    </row>
    <row r="4" ht="16" customHeight="1">
      <c r="A4" s="24" t="str">
        <f>同业数据!A4</f>
        <v>示例002</v>
      </c>
      <c r="B4" s="24" t="str">
        <f>同业数据!B4</f>
        <v>东岳智能</v>
      </c>
      <c r="C4" s="25" t="str">
        <f>同业数据!C4</f>
        <v>Core</v>
      </c>
      <c r="D4" s="36">
        <f>IF(ISNUMBER(同业数据!J4),同业数据!J4,"")</f>
        <v>4100.0</v>
      </c>
      <c r="E4" s="36">
        <f>IF(ISNUMBER(同业数据!K4),同业数据!K4,"")</f>
        <v>820.0</v>
      </c>
      <c r="F4" s="36">
        <f>IF(ISNUMBER(同业数据!L4),同业数据!L4,"")</f>
        <v>640.0</v>
      </c>
      <c r="G4" s="36">
        <f>IF(ISNUMBER(同业数据!M4),同业数据!M4,"")</f>
        <v>470.0</v>
      </c>
      <c r="H4" s="32">
        <f>IF(AND(ISNUMBER(D4),ISNUMBER(E4)),IF(D4&lt;=0,"NM",E4/D4),"")</f>
        <v>0.2</v>
      </c>
      <c r="I4" s="32">
        <f>IF(AND(ISNUMBER(D4),ISNUMBER(F4)),IF(D4&lt;=0,"NM",F4/D4),"")</f>
        <v>0.15609756097560976</v>
      </c>
      <c r="J4" s="32">
        <f>IF(AND(ISNUMBER(D4),ISNUMBER(G4)),IF(D4&lt;=0,"NM",G4/D4),"")</f>
        <v>0.11463414634146342</v>
      </c>
    </row>
    <row r="5" ht="16" customHeight="1">
      <c r="A5" s="24" t="str">
        <f>同业数据!A5</f>
        <v>示例003</v>
      </c>
      <c r="B5" s="24" t="str">
        <f>同业数据!B5</f>
        <v>恒川重工</v>
      </c>
      <c r="C5" s="25" t="str">
        <f>同业数据!C5</f>
        <v>Core</v>
      </c>
      <c r="D5" s="36">
        <f>IF(ISNUMBER(同业数据!J5),同业数据!J5,"")</f>
        <v>9800.0</v>
      </c>
      <c r="E5" s="36">
        <f>IF(ISNUMBER(同业数据!K5),同业数据!K5,"")</f>
        <v>1650.0</v>
      </c>
      <c r="F5" s="36">
        <f>IF(ISNUMBER(同业数据!L5),同业数据!L5,"")</f>
        <v>1100.0</v>
      </c>
      <c r="G5" s="36">
        <f>IF(ISNUMBER(同业数据!M5),同业数据!M5,"")</f>
        <v>680.0</v>
      </c>
      <c r="H5" s="32">
        <f>IF(AND(ISNUMBER(D5),ISNUMBER(E5)),IF(D5&lt;=0,"NM",E5/D5),"")</f>
        <v>0.1683673469387755</v>
      </c>
      <c r="I5" s="32">
        <f>IF(AND(ISNUMBER(D5),ISNUMBER(F5)),IF(D5&lt;=0,"NM",F5/D5),"")</f>
        <v>0.11224489795918367</v>
      </c>
      <c r="J5" s="32">
        <f>IF(AND(ISNUMBER(D5),ISNUMBER(G5)),IF(D5&lt;=0,"NM",G5/D5),"")</f>
        <v>0.06938775510204082</v>
      </c>
    </row>
    <row r="6" ht="16" customHeight="1">
      <c r="A6" s="24" t="str">
        <f>同业数据!A6</f>
        <v>示例004</v>
      </c>
      <c r="B6" s="24" t="str">
        <f>同业数据!B6</f>
        <v>远帆新能</v>
      </c>
      <c r="C6" s="25" t="str">
        <f>同业数据!C6</f>
        <v>Core</v>
      </c>
      <c r="D6" s="36">
        <f>IF(ISNUMBER(同业数据!J6),同业数据!J6,"")</f>
        <v>3500.0</v>
      </c>
      <c r="E6" s="36">
        <f>IF(ISNUMBER(同业数据!K6),同业数据!K6,"")</f>
        <v>700.0</v>
      </c>
      <c r="F6" s="36">
        <f>IF(ISNUMBER(同业数据!L6),同业数据!L6,"")</f>
        <v>560.0</v>
      </c>
      <c r="G6" s="36">
        <f>IF(ISNUMBER(同业数据!M6),同业数据!M6,"")</f>
        <v>430.0</v>
      </c>
      <c r="H6" s="32">
        <f>IF(AND(ISNUMBER(D6),ISNUMBER(E6)),IF(D6&lt;=0,"NM",E6/D6),"")</f>
        <v>0.2</v>
      </c>
      <c r="I6" s="32">
        <f>IF(AND(ISNUMBER(D6),ISNUMBER(F6)),IF(D6&lt;=0,"NM",F6/D6),"")</f>
        <v>0.16</v>
      </c>
      <c r="J6" s="32">
        <f>IF(AND(ISNUMBER(D6),ISNUMBER(G6)),IF(D6&lt;=0,"NM",G6/D6),"")</f>
        <v>0.12285714285714286</v>
      </c>
    </row>
    <row r="7" ht="16" customHeight="1">
      <c r="A7" s="24" t="str">
        <f>同业数据!A7</f>
        <v>示例005</v>
      </c>
      <c r="B7" s="24" t="str">
        <f>同业数据!B7</f>
        <v>启明电气</v>
      </c>
      <c r="C7" s="25" t="str">
        <f>同业数据!C7</f>
        <v>Core</v>
      </c>
      <c r="D7" s="36">
        <f>IF(ISNUMBER(同业数据!J7),同业数据!J7,"")</f>
        <v>6300.0</v>
      </c>
      <c r="E7" s="36">
        <f>IF(ISNUMBER(同业数据!K7),同业数据!K7,"")</f>
        <v>1150.0</v>
      </c>
      <c r="F7" s="36">
        <f>IF(ISNUMBER(同业数据!L7),同业数据!L7,"")</f>
        <v>820.0</v>
      </c>
      <c r="G7" s="36">
        <f>IF(ISNUMBER(同业数据!M7),同业数据!M7,"")</f>
        <v>560.0</v>
      </c>
      <c r="H7" s="32">
        <f>IF(AND(ISNUMBER(D7),ISNUMBER(E7)),IF(D7&lt;=0,"NM",E7/D7),"")</f>
        <v>0.18253968253968253</v>
      </c>
      <c r="I7" s="32">
        <f>IF(AND(ISNUMBER(D7),ISNUMBER(F7)),IF(D7&lt;=0,"NM",F7/D7),"")</f>
        <v>0.13015873015873017</v>
      </c>
      <c r="J7" s="32">
        <f>IF(AND(ISNUMBER(D7),ISNUMBER(G7)),IF(D7&lt;=0,"NM",G7/D7),"")</f>
        <v>0.08888888888888889</v>
      </c>
    </row>
    <row r="8" ht="16" customHeight="1">
      <c r="A8" s="24" t="str">
        <f>同业数据!A8</f>
        <v>示例006</v>
      </c>
      <c r="B8" s="24" t="str">
        <f>同业数据!B8</f>
        <v>北辰精工</v>
      </c>
      <c r="C8" s="25" t="str">
        <f>同业数据!C8</f>
        <v>Secondary</v>
      </c>
      <c r="D8" s="36">
        <f>IF(ISNUMBER(同业数据!J8),同业数据!J8,"")</f>
        <v>2600.0</v>
      </c>
      <c r="E8" s="36">
        <f>IF(ISNUMBER(同业数据!K8),同业数据!K8,"")</f>
        <v>520.0</v>
      </c>
      <c r="F8" s="36">
        <f>IF(ISNUMBER(同业数据!L8),同业数据!L8,"")</f>
        <v>430.0</v>
      </c>
      <c r="G8" s="36">
        <f>IF(ISNUMBER(同业数据!M8),同业数据!M8,"")</f>
        <v>360.0</v>
      </c>
      <c r="H8" s="32">
        <f>IF(AND(ISNUMBER(D8),ISNUMBER(E8)),IF(D8&lt;=0,"NM",E8/D8),"")</f>
        <v>0.2</v>
      </c>
      <c r="I8" s="32">
        <f>IF(AND(ISNUMBER(D8),ISNUMBER(F8)),IF(D8&lt;=0,"NM",F8/D8),"")</f>
        <v>0.16538461538461538</v>
      </c>
      <c r="J8" s="32">
        <f>IF(AND(ISNUMBER(D8),ISNUMBER(G8)),IF(D8&lt;=0,"NM",G8/D8),"")</f>
        <v>0.13846153846153847</v>
      </c>
    </row>
    <row r="9" ht="16" customHeight="1">
      <c r="A9" s="24" t="str">
        <f>同业数据!A9</f>
        <v>示例007</v>
      </c>
      <c r="B9" s="24" t="str">
        <f>同业数据!B9</f>
        <v>海川控股</v>
      </c>
      <c r="C9" s="25" t="str">
        <f>同业数据!C9</f>
        <v>Excluded</v>
      </c>
      <c r="D9" s="36">
        <f>IF(ISNUMBER(同业数据!J9),同业数据!J9,"")</f>
        <v>30000.0</v>
      </c>
      <c r="E9" s="36">
        <f>IF(ISNUMBER(同业数据!K9),同业数据!K9,"")</f>
        <v>2000.0</v>
      </c>
      <c r="F9" s="36">
        <f>IF(ISNUMBER(同业数据!L9),同业数据!L9,"")</f>
        <v>900.0</v>
      </c>
      <c r="G9" s="36">
        <f>IF(ISNUMBER(同业数据!M9),同业数据!M9,"")</f>
        <v>-150.0</v>
      </c>
      <c r="H9" s="32">
        <f>IF(AND(ISNUMBER(D9),ISNUMBER(E9)),IF(D9&lt;=0,"NM",E9/D9),"")</f>
        <v>0.06666666666666667</v>
      </c>
      <c r="I9" s="32">
        <f>IF(AND(ISNUMBER(D9),ISNUMBER(F9)),IF(D9&lt;=0,"NM",F9/D9),"")</f>
        <v>0.03</v>
      </c>
      <c r="J9" s="32">
        <f>IF(AND(ISNUMBER(D9),ISNUMBER(G9)),IF(D9&lt;=0,"NM",G9/D9),"")</f>
        <v>-0.005</v>
      </c>
    </row>
    <row r="10" ht="16" customHeight="1"/>
    <row r="11" ht="30" customHeight="1">
      <c r="A11" s="5" t="inlineStr">
        <is>
          <r>
            <rPr>
              <b/>
              <sz val="10"/>
              <color rgb="FFFFFFFF"/>
              <rFont val="KaiTi"/>
              <family val="2"/>
            </rPr>
            <t xml:space="preserve">统计（核心同业）</t>
          </r>
        </is>
      </c>
      <c r="B11" s="5"/>
      <c r="C11" s="5"/>
      <c r="D11" s="5"/>
      <c r="E11" s="5"/>
      <c r="F11" s="5"/>
      <c r="G11" s="5"/>
      <c r="H1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EBITDA </t>
          </r>
          <r>
            <rPr>
              <b/>
              <sz val="10"/>
              <color rgb="FFFFFFFF"/>
              <rFont val="KaiTi"/>
              <family val="2"/>
            </rPr>
            <t xml:space="preserve">利润率</t>
          </r>
        </is>
      </c>
      <c r="I11" s="5" t="inlineStr">
        <is>
          <r>
            <rPr>
              <b/>
              <sz val="10"/>
              <color rgb="FFFFFFFF"/>
              <rFont val="Arial"/>
              <family val="2"/>
            </rPr>
            <t xml:space="preserve">EBIT </t>
          </r>
          <r>
            <rPr>
              <b/>
              <sz val="10"/>
              <color rgb="FFFFFFFF"/>
              <rFont val="KaiTi"/>
              <family val="2"/>
            </rPr>
            <t xml:space="preserve">利润率</t>
          </r>
        </is>
      </c>
      <c r="J11" s="5" t="inlineStr">
        <is>
          <r>
            <rPr>
              <b/>
              <sz val="10"/>
              <color rgb="FFFFFFFF"/>
              <rFont val="KaiTi"/>
              <family val="2"/>
            </rPr>
            <t xml:space="preserve">净利率</t>
          </r>
        </is>
      </c>
    </row>
    <row r="12" ht="16" customHeight="1">
      <c r="A12" s="13" t="inlineStr">
        <is>
          <r>
            <rPr>
              <sz val="10"/>
              <rFont val="KaiTi"/>
              <family val="2"/>
            </rPr>
            <t xml:space="preserve">核心同业样本数</t>
          </r>
        </is>
      </c>
      <c r="B12" s="13"/>
      <c r="C12" s="13"/>
      <c r="D12" s="13"/>
      <c r="E12" s="13"/>
      <c r="F12" s="13"/>
      <c r="G12" s="13"/>
      <c r="H12" s="30">
        <f>SUMPRODUCT(($C$3:$C$9="Core")*ISNUMBER(H$3:H$9))</f>
        <v>5</v>
      </c>
      <c r="I12" s="30">
        <f>SUMPRODUCT(($C$3:$C$9="Core")*ISNUMBER(I$3:I$9))</f>
        <v>5</v>
      </c>
      <c r="J12" s="30">
        <f>SUMPRODUCT(($C$3:$C$9="Core")*ISNUMBER(J$3:J$9))</f>
        <v>5</v>
      </c>
    </row>
    <row r="13" ht="16" customHeight="1">
      <c r="A13" s="13" t="inlineStr">
        <is>
          <r>
            <rPr>
              <sz val="10"/>
              <rFont val="KaiTi"/>
              <family val="2"/>
            </rPr>
            <t xml:space="preserve">核心中位数</t>
          </r>
        </is>
      </c>
      <c r="B13" s="13"/>
      <c r="C13" s="13"/>
      <c r="D13" s="13"/>
      <c r="E13" s="13"/>
      <c r="F13" s="13"/>
      <c r="G13" s="13"/>
      <c r="H13" s="32">
        <f t="array" ref="H13">IF(H12=0,"",MEDIAN(IF(($C$3:$C$9="Core")*ISNUMBER(H$3:H$9),H$3:H$9)))</f>
        <v>0.2</v>
      </c>
      <c r="I13" s="32">
        <f t="array" ref="I13">IF(I12=0,"",MEDIAN(IF(($C$3:$C$9="Core")*ISNUMBER(I$3:I$9),I$3:I$9)))</f>
        <v>0.15609756097560976</v>
      </c>
      <c r="J13" s="32">
        <f t="array" ref="J13">IF(J12=0,"",MEDIAN(IF(($C$3:$C$9="Core")*ISNUMBER(J$3:J$9),J$3:J$9)))</f>
        <v>0.11388888888888889</v>
      </c>
    </row>
    <row r="14" ht="16" customHeight="1">
      <c r="A14" s="13" t="inlineStr">
        <is>
          <r>
            <rPr>
              <sz val="10"/>
              <rFont val="KaiTi"/>
              <family val="2"/>
            </rPr>
            <t xml:space="preserve">核心 </t>
          </r>
          <r>
            <rPr>
              <sz val="10"/>
              <rFont val="Arial"/>
              <family val="2"/>
            </rPr>
            <t xml:space="preserve">P25</t>
          </r>
        </is>
      </c>
      <c r="B14" s="13"/>
      <c r="C14" s="13"/>
      <c r="D14" s="13"/>
      <c r="E14" s="13"/>
      <c r="F14" s="13"/>
      <c r="G14" s="13"/>
      <c r="H14" s="32">
        <f t="array" ref="H14">IF(H12=0,"",QUARTILE(IF(($C$3:$C$9="Core")*ISNUMBER(H$3:H$9),H$3:H$9),1))</f>
        <v>0.18253968253968253</v>
      </c>
      <c r="I14" s="32">
        <f t="array" ref="I14">IF(I12=0,"",QUARTILE(IF(($C$3:$C$9="Core")*ISNUMBER(I$3:I$9),I$3:I$9),1))</f>
        <v>0.13015873015873017</v>
      </c>
      <c r="J14" s="32">
        <f t="array" ref="J14">IF(J12=0,"",QUARTILE(IF(($C$3:$C$9="Core")*ISNUMBER(J$3:J$9),J$3:J$9),1))</f>
        <v>0.08888888888888889</v>
      </c>
    </row>
    <row r="15" ht="16" customHeight="1">
      <c r="A15" s="13" t="inlineStr">
        <is>
          <r>
            <rPr>
              <sz val="10"/>
              <rFont val="KaiTi"/>
              <family val="2"/>
            </rPr>
            <t xml:space="preserve">核心 </t>
          </r>
          <r>
            <rPr>
              <sz val="10"/>
              <rFont val="Arial"/>
              <family val="2"/>
            </rPr>
            <t xml:space="preserve">P75</t>
          </r>
        </is>
      </c>
      <c r="B15" s="13"/>
      <c r="C15" s="13"/>
      <c r="D15" s="13"/>
      <c r="E15" s="13"/>
      <c r="F15" s="13"/>
      <c r="G15" s="13"/>
      <c r="H15" s="32">
        <f t="array" ref="H15">IF(H12=0,"",QUARTILE(IF(($C$3:$C$9="Core")*ISNUMBER(H$3:H$9),H$3:H$9),3))</f>
        <v>0.2</v>
      </c>
      <c r="I15" s="32">
        <f t="array" ref="I15">IF(I12=0,"",QUARTILE(IF(($C$3:$C$9="Core")*ISNUMBER(I$3:I$9),I$3:I$9),3))</f>
        <v>0.1597222222222222</v>
      </c>
      <c r="J15" s="32">
        <f t="array" ref="J15">IF(J12=0,"",QUARTILE(IF(($C$3:$C$9="Core")*ISNUMBER(J$3:J$9),J$3:J$9),3))</f>
        <v>0.11463414634146342</v>
      </c>
    </row>
    <row r="16" ht="16" customHeight="1">
      <c r="A16" s="14" t="inlineStr">
        <is>
          <r>
            <rPr>
              <sz val="10"/>
              <rFont val="KaiTi"/>
              <family val="2"/>
            </rPr>
            <t xml:space="preserve">目标公司</t>
          </r>
        </is>
      </c>
      <c r="B16" s="14"/>
      <c r="C16" s="14"/>
      <c r="D16" s="14"/>
      <c r="E16" s="14"/>
      <c r="F16" s="14"/>
      <c r="G16" s="14"/>
      <c r="H16" s="8">
        <f>H2</f>
        <v>0.18443488041963507</v>
      </c>
      <c r="I16" s="8">
        <f>I2</f>
        <v>0.12635227301051782</v>
      </c>
      <c r="J16" s="8">
        <f>J2</f>
        <v>0.10445999155710783</v>
      </c>
    </row>
    <row r="17" ht="16" customHeight="1">
      <c r="A17" s="13" t="inlineStr">
        <is>
          <r>
            <rPr>
              <sz val="10"/>
              <rFont val="KaiTi"/>
              <family val="2"/>
            </rPr>
            <t xml:space="preserve">目标 </t>
          </r>
          <r>
            <rPr>
              <sz val="10"/>
              <rFont val="Arial"/>
              <family val="2"/>
            </rPr>
            <t xml:space="preserve">− </t>
          </r>
          <r>
            <rPr>
              <sz val="10"/>
              <rFont val="KaiTi"/>
              <family val="2"/>
            </rPr>
            <t xml:space="preserve">核心中位数（百分点）</t>
          </r>
        </is>
      </c>
      <c r="B17" s="13"/>
      <c r="C17" s="13"/>
      <c r="D17" s="13"/>
      <c r="E17" s="13"/>
      <c r="F17" s="13"/>
      <c r="G17" s="13"/>
      <c r="H17" s="43">
        <f>IF(AND(ISNUMBER(H2),ISNUMBER(H13)),(H2-H13)*100,"")</f>
        <v>-1.556511958036494</v>
      </c>
      <c r="I17" s="43">
        <f>IF(AND(ISNUMBER(I2),ISNUMBER(I13)),(I2-I13)*100,"")</f>
        <v>-2.974528796509193</v>
      </c>
      <c r="J17" s="43">
        <f>IF(AND(ISNUMBER(J2),ISNUMBER(J13)),(J2-J13)*100,"")</f>
        <v>-0.9428897331781052</v>
      </c>
    </row>
  </sheetData>
  <pageMargins left="0.5" right="0.5" top="0.6" bottom="0.6" header="0.3" footer="0.3"/>
  <pageSetup paperSize="9" orientation="landscape" fitToWidth="1" fitToHeight="0"/>
</worksheet>
</file>