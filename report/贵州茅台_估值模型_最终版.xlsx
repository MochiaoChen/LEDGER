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分部预测" sheetId="7" r:id="rId7"/>
    <sheet name="三表-假设" sheetId="8" r:id="rId8"/>
    <sheet name="三表-利润表" sheetId="9" r:id="rId9"/>
    <sheet name="三表-资产负债表" sheetId="10" r:id="rId10"/>
    <sheet name="三表-现金流量表" sheetId="11" r:id="rId11"/>
    <sheet name="历史财务" sheetId="12" r:id="rId12"/>
    <sheet name="分季度" sheetId="13" r:id="rId13"/>
    <sheet name="经营数据" sheetId="14" r:id="rId14"/>
    <sheet name="模型检查" sheetId="15" r:id="rId15"/>
  </sheets>
  <calcPr fullCalcOnLoad="1"/>
</workbook>
</file>

<file path=xl/styles.xml><?xml version="1.0" encoding="utf-8"?>
<styleSheet xmlns="http://schemas.openxmlformats.org/spreadsheetml/2006/main">
  <numFmts count="11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-&quot;_)"/>
    <numFmt numFmtId="172" formatCode="+0.00&quot; pp&quot;;-0.00&quot; pp&quot;;&quot;-&quot;"/>
    <numFmt numFmtId="173" formatCode="#,##0_);(#,##0);&quot;0&quot;_)"/>
    <numFmt numFmtId="174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0" borderId="3" xfId="0" applyNumberFormat="1" applyFont="1" applyFill="1" applyBorder="1" applyAlignment="1">
      <alignment horizontal="right" vertical="center"/>
    </xf>
    <xf numFmtId="171" fontId="0" fillId="0" borderId="3" xfId="0" applyNumberFormat="1" applyFont="1" applyFill="1" applyBorder="1" applyAlignment="1">
      <alignment horizontal="right" vertical="center"/>
    </xf>
    <xf numFmtId="172" fontId="7" fillId="0" borderId="3" xfId="0" applyNumberFormat="1" applyFont="1" applyFill="1" applyBorder="1" applyAlignment="1">
      <alignment horizontal="right" vertical="center"/>
    </xf>
    <xf numFmtId="165" fontId="4" fillId="0" borderId="2" xfId="0" applyNumberFormat="1" applyFont="1" applyFill="1" applyBorder="1" applyAlignment="1">
      <alignment horizontal="right" vertical="center"/>
    </xf>
    <xf numFmtId="173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8" fillId="0" borderId="3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4" fontId="0" fillId="0" borderId="3" xfId="0" applyNumberFormat="1" applyFont="1" applyFill="1" applyBorder="1" applyAlignment="1">
      <alignment horizontal="right" vertical="center"/>
    </xf>
    <xf numFmtId="173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5" customWidth="1"/>
    <col min="3" max="3" width="10.5" customWidth="1"/>
    <col min="4" max="4" width="14.5" customWidth="1"/>
    <col min="5" max="5" width="14.5" customWidth="1"/>
    <col min="6" max="6" width="10.5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贵州茅台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2026-09-24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0.0765</v>
      </c>
      <c r="C5" s="7">
        <v>0.025</v>
      </c>
      <c r="D5" s="8">
        <v>1748371.664663096</v>
      </c>
      <c r="E5" s="8">
        <v>1917731.180229756</v>
      </c>
      <c r="F5" s="9">
        <v>1531.4036517507973</v>
      </c>
      <c r="G5" s="7">
        <v>0.23799810165787982</v>
      </c>
      <c r="H5" s="7">
        <v>0.7839733491873658</v>
      </c>
      <c r="I5" s="10">
        <v>13.814719151536401</v>
      </c>
      <c r="J5" s="11" t="inlineStr">
        <is>
          <r>
            <rPr>
              <sz val="12"/>
              <rFont val="KaiTi"/>
              <family val="2"/>
            </rPr>
            <t xml:space="preserve">行业去库存 </t>
          </r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年见底，收入持平后温和恢复，利润率维持 </t>
          </r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年水平。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0.0815</v>
      </c>
      <c r="C6" s="14">
        <v>0.02</v>
      </c>
      <c r="D6" s="15">
        <v>1230801.8229534265</v>
      </c>
      <c r="E6" s="15">
        <v>1400161.3385200866</v>
      </c>
      <c r="F6" s="16">
        <v>1118.0984117873365</v>
      </c>
      <c r="G6" s="14">
        <v>-0.09612092822365681</v>
      </c>
      <c r="H6" s="14">
        <v>0.7391611050783226</v>
      </c>
      <c r="I6" s="17">
        <v>11.676366562494236</v>
      </c>
      <c r="J6" s="18" t="inlineStr">
        <is>
          <r>
            <rPr>
              <sz val="12"/>
              <rFont val="KaiTi"/>
              <family val="2"/>
            </rPr>
            <t xml:space="preserve">批价继续下行、渠道去库存延长，收入两年负增长，毛利率承压。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0.074</v>
      </c>
      <c r="C7" s="14">
        <v>0.03</v>
      </c>
      <c r="D7" s="15">
        <v>2184525.439186102</v>
      </c>
      <c r="E7" s="15">
        <v>2353884.9547527614</v>
      </c>
      <c r="F7" s="16">
        <v>1879.694115980201</v>
      </c>
      <c r="G7" s="14">
        <v>0.519558703298465</v>
      </c>
      <c r="H7" s="14">
        <v>0.8141386629572477</v>
      </c>
      <c r="I7" s="17">
        <v>16.222028831448576</v>
      </c>
      <c r="J7" s="18" t="inlineStr">
        <is>
          <r>
            <rPr>
              <sz val="12"/>
              <rFont val="KaiTi"/>
              <family val="2"/>
            </rPr>
            <t xml:space="preserve">需求企稳回升，直销渠道占比提升带动均价与利润率改善。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1118.0984117873365</v>
      </c>
      <c r="C10" s="16">
        <v>1531.4036517507973</v>
      </c>
      <c r="D10" s="16">
        <v>1879.694115980201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1237.0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1.46e-11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4.5" customWidth="1"/>
    <col min="3" max="3" width="12.5" customWidth="1"/>
    <col min="4" max="4" width="12.5" customWidth="1"/>
    <col min="5" max="5" width="12.5" customWidth="1"/>
    <col min="6" max="6" width="12.5" customWidth="1"/>
    <col min="7" max="7" width="12.5" customWidth="1"/>
    <col min="8" max="8" width="12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170899.15227634</v>
      </c>
      <c r="C5" s="20">
        <v>168838.10251479002</v>
      </c>
      <c r="D5" s="21">
        <f>'三表-利润表'!D5</f>
        <v>172524.764926317</v>
      </c>
      <c r="E5" s="21">
        <f>'三表-利润表'!E5</f>
        <v>179231.2535182196</v>
      </c>
      <c r="F5" s="21">
        <f>'三表-利润表'!F5</f>
        <v>188516.8394716792</v>
      </c>
      <c r="G5" s="21">
        <f>'三表-利润表'!G5</f>
        <v>198285.5678337664</v>
      </c>
      <c r="H5" s="21">
        <f>'三表-利润表'!H5</f>
        <v>208562.68976180046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-0.012060035021223027</v>
      </c>
      <c r="D6" s="14">
        <f>D5/C5-1</f>
        <v>0.021835488296867475</v>
      </c>
      <c r="E6" s="14">
        <f>E5/D5-1</f>
        <v>0.03887261399699248</v>
      </c>
      <c r="F6" s="14">
        <f>F5/E5-1</f>
        <v>0.051807850311751995</v>
      </c>
      <c r="G6" s="14">
        <f>G5/F5-1</f>
        <v>0.05181886344723459</v>
      </c>
      <c r="H6" s="14">
        <f>H5/G5-1</f>
        <v>0.05182990391237112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13789.48236798</v>
      </c>
      <c r="C7" s="22">
        <v>14892.27757091</v>
      </c>
      <c r="D7" s="23">
        <f>'三表-利润表'!D6</f>
        <v>15223.27141933214</v>
      </c>
      <c r="E7" s="23">
        <f>'三表-利润表'!E6</f>
        <v>15772.63444131595</v>
      </c>
      <c r="F7" s="23">
        <f>'三表-利润表'!F6</f>
        <v>16550.43614746139</v>
      </c>
      <c r="G7" s="23">
        <f>'三表-利润表'!G6</f>
        <v>17365.93231379018</v>
      </c>
      <c r="H7" s="23">
        <f>'三表-利润表'!H6</f>
        <v>18300.291933590404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157109.66990836</v>
      </c>
      <c r="C8" s="24">
        <f>C5-C7</f>
        <v>153945.82494388</v>
      </c>
      <c r="D8" s="24">
        <f>D5-D7</f>
        <v>157301.4935069849</v>
      </c>
      <c r="E8" s="24">
        <f>E5-E7</f>
        <v>163458.61907690365</v>
      </c>
      <c r="F8" s="24">
        <f>F5-F7</f>
        <v>171966.40332421783</v>
      </c>
      <c r="G8" s="24">
        <f>G5-G7</f>
        <v>180919.6355199762</v>
      </c>
      <c r="H8" s="24">
        <f>H5-H7</f>
        <v>190262.39782821006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0.9193121663606456</v>
      </c>
      <c r="C9" s="14">
        <f>C8/C5</f>
        <v>0.9117955168348008</v>
      </c>
      <c r="D9" s="14">
        <f>D8/D5</f>
        <v>0.9117618190882113</v>
      </c>
      <c r="E9" s="14">
        <f>E8/E5</f>
        <v>0.9119984147200499</v>
      </c>
      <c r="F9" s="14">
        <f>F8/F5</f>
        <v>0.9122071206272915</v>
      </c>
      <c r="G9" s="14">
        <f>G8/G5</f>
        <v>0.9124195850282508</v>
      </c>
      <c r="H9" s="14">
        <f>H8/H5</f>
        <v>0.9122551979239855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118098.24726640001</v>
      </c>
      <c r="C10" s="22">
        <v>113863.29754656</v>
      </c>
      <c r="D10" s="23">
        <f>'三表-利润表'!D11</f>
        <v>115945.79161710752</v>
      </c>
      <c r="E10" s="23">
        <f>'三表-利润表'!E11</f>
        <v>120477.95889017076</v>
      </c>
      <c r="F10" s="23">
        <f>'三表-利润表'!F11</f>
        <v>126960.49367885441</v>
      </c>
      <c r="G10" s="23">
        <f>'三表-利润表'!G11</f>
        <v>133791.74478592817</v>
      </c>
      <c r="H10" s="23">
        <f>'三表-利润表'!H11</f>
        <v>140702.7740838956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89334.7280259</v>
      </c>
      <c r="C11" s="22">
        <v>85310.32483367</v>
      </c>
      <c r="D11" s="23">
        <f>'三表-利润表'!D17</f>
        <v>86624.87883399898</v>
      </c>
      <c r="E11" s="23">
        <f>'三表-利润表'!E17</f>
        <v>89994.14188004685</v>
      </c>
      <c r="F11" s="23">
        <f>'三表-利润表'!F17</f>
        <v>94813.32960907111</v>
      </c>
      <c r="G11" s="23">
        <f>'三表-利润表'!G17</f>
        <v>99891.75688825245</v>
      </c>
      <c r="H11" s="23">
        <f>'三表-利润表'!H17</f>
        <v>105029.49215283323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86228.14642162</v>
      </c>
      <c r="C12" s="20">
        <v>82320.06710167999</v>
      </c>
      <c r="D12" s="24">
        <f>D11*$C$12/$C$11</f>
        <v>83588.5439680716</v>
      </c>
      <c r="E12" s="24">
        <f>E11*$C$12/$C$11</f>
        <v>86839.70917667486</v>
      </c>
      <c r="F12" s="24">
        <f>F11*$C$12/$C$11</f>
        <v>91489.97698426261</v>
      </c>
      <c r="G12" s="24">
        <f>G11*$C$12/$C$11</f>
        <v>96390.39759816014</v>
      </c>
      <c r="H12" s="24">
        <f>H11*$C$12/$C$11</f>
        <v>101348.04736160394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-0.045322548171580886</v>
      </c>
      <c r="D13" s="14">
        <f>D12/C12-1</f>
        <v>0.015409084455978465</v>
      </c>
      <c r="E13" s="14">
        <f>E12/D12-1</f>
        <v>0.03889486590225955</v>
      </c>
      <c r="F13" s="14">
        <f>F12/E12-1</f>
        <v>0.05355001590489912</v>
      </c>
      <c r="G13" s="14">
        <f>G12/F12-1</f>
        <v>0.05356237672614623</v>
      </c>
      <c r="H13" s="14">
        <f>H12/G12-1</f>
        <v>0.05143302535291577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0.5045557293472765</v>
      </c>
      <c r="C14" s="14">
        <f>C12/C5</f>
        <v>0.4875680659492655</v>
      </c>
      <c r="D14" s="14">
        <f>D12/D5</f>
        <v>0.4845017119934702</v>
      </c>
      <c r="E14" s="14">
        <f>E12/E5</f>
        <v>0.484512089672169</v>
      </c>
      <c r="F14" s="14">
        <f>F12/F5</f>
        <v>0.48531461295799583</v>
      </c>
      <c r="G14" s="14">
        <f>G12/G5</f>
        <v>0.4861190789183884</v>
      </c>
      <c r="H14" s="14">
        <f>H12/H5</f>
        <v>0.4859356554969329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1252.270215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1237.0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1549058.255955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68.64</v>
      </c>
      <c r="C21" s="25">
        <v>65.66</v>
      </c>
      <c r="D21" s="16">
        <f>D12/$B$16</f>
        <v>66.74960640828752</v>
      </c>
      <c r="E21" s="16">
        <f>E12/$B$16</f>
        <v>69.34582339856647</v>
      </c>
      <c r="F21" s="16">
        <f>F12/$B$16</f>
        <v>73.05929334449803</v>
      </c>
      <c r="G21" s="16">
        <f>G12/$B$16</f>
        <v>76.97252273796207</v>
      </c>
      <c r="H21" s="16">
        <f>H12/$B$16</f>
        <v>80.93145245142155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18.02156177156177</v>
      </c>
      <c r="C22" s="17">
        <f>$B$17/C21</f>
        <v>18.83947608894304</v>
      </c>
      <c r="D22" s="17">
        <f>$B$17/D21</f>
        <v>18.53194447969683</v>
      </c>
      <c r="E22" s="17">
        <f>$B$17/E21</f>
        <v>17.838132700369258</v>
      </c>
      <c r="F22" s="17">
        <f>$B$17/F21</f>
        <v>16.93145311667809</v>
      </c>
      <c r="G22" s="17">
        <f>$B$17/G21</f>
        <v>16.07066984423942</v>
      </c>
      <c r="H22" s="17">
        <f>$B$17/H21</f>
        <v>15.284539725053115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0.9649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4.5" customWidth="1"/>
    <col min="3" max="3" width="12.5" customWidth="1"/>
    <col min="4" max="4" width="12.5" customWidth="1"/>
    <col min="5" max="5" width="12.5" customWidth="1"/>
    <col min="6" max="6" width="12.5" customWidth="1"/>
    <col min="7" max="7" width="12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贵州茅台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168838.10251479002</v>
      </c>
      <c r="C5" s="23">
        <f>'三表-利润表'!D5</f>
        <v>172524.76492631703</v>
      </c>
      <c r="D5" s="23">
        <f>'三表-利润表'!E5</f>
        <v>179231.2535182196</v>
      </c>
      <c r="E5" s="23">
        <f>'三表-利润表'!F5</f>
        <v>188516.8394716792</v>
      </c>
      <c r="F5" s="23">
        <f>'三表-利润表'!G5</f>
        <v>198285.5678337664</v>
      </c>
      <c r="G5" s="23">
        <f>'三表-利润表'!H5</f>
        <v>208562.68976180046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0.021835488296867434</v>
      </c>
      <c r="D6" s="14">
        <f>D5/C5-1</f>
        <v>0.03887261399699238</v>
      </c>
      <c r="E6" s="14">
        <f>E5/D5-1</f>
        <v>0.05180785031175206</v>
      </c>
      <c r="F6" s="14">
        <f>F5/E5-1</f>
        <v>0.05181886344723452</v>
      </c>
      <c r="G6" s="14">
        <f>G5/F5-1</f>
        <v>0.05182990391237108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113863.29754656</v>
      </c>
      <c r="C7" s="23">
        <f>'三表-利润表'!D11</f>
        <v>115945.79161710752</v>
      </c>
      <c r="D7" s="23">
        <f>'三表-利润表'!E11</f>
        <v>120477.95889017076</v>
      </c>
      <c r="E7" s="23">
        <f>'三表-利润表'!F11</f>
        <v>126960.49367885443</v>
      </c>
      <c r="F7" s="23">
        <f>'三表-利润表'!G11</f>
        <v>133791.74478592817</v>
      </c>
      <c r="G7" s="23">
        <f>'三表-利润表'!H11</f>
        <v>140702.7740838956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0.674393373596376</v>
      </c>
      <c r="C8" s="14">
        <f>C7/C5</f>
        <v>0.6720530334681307</v>
      </c>
      <c r="D8" s="14">
        <f>D7/D5</f>
        <v>0.6721928041301328</v>
      </c>
      <c r="E8" s="14">
        <f>E7/E5</f>
        <v>0.6734703066031809</v>
      </c>
      <c r="F8" s="14">
        <f>F7/F5</f>
        <v>0.6747427271060549</v>
      </c>
      <c r="G8" s="14">
        <f>G7/G5</f>
        <v>0.6746306074427421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29216.068613748736</v>
      </c>
      <c r="C9" s="15">
        <f>C7*'三表-假设'!D19</f>
        <v>29750.413665787662</v>
      </c>
      <c r="D9" s="15">
        <f>D7*'三表-假设'!E19</f>
        <v>30913.31789280302</v>
      </c>
      <c r="E9" s="15">
        <f>E7*'三表-假设'!F19</f>
        <v>32576.66495246243</v>
      </c>
      <c r="F9" s="15">
        <f>F7*'三表-假设'!G19</f>
        <v>34329.48878035484</v>
      </c>
      <c r="G9" s="15">
        <f>G7*'三表-假设'!H19</f>
        <v>36102.7828137415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84647.22893281127</v>
      </c>
      <c r="C10" s="24">
        <f>C7-C9</f>
        <v>86195.37795131985</v>
      </c>
      <c r="D10" s="24">
        <f>D7-D9</f>
        <v>89564.64099736774</v>
      </c>
      <c r="E10" s="24">
        <f>E7-E9</f>
        <v>94383.828726392</v>
      </c>
      <c r="F10" s="24">
        <f>F7-F9</f>
        <v>99462.25600557332</v>
      </c>
      <c r="G10" s="24">
        <f>G7-G9</f>
        <v>104599.9912701541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2182.9519949</v>
      </c>
      <c r="C11" s="23">
        <f>'三表-利润表'!D10</f>
        <v>2276.8396369392885</v>
      </c>
      <c r="D11" s="23">
        <f>'三表-利润表'!E10</f>
        <v>2382.700405994686</v>
      </c>
      <c r="E11" s="23">
        <f>'三表-利润表'!F10</f>
        <v>2493.173680813881</v>
      </c>
      <c r="F11" s="23">
        <f>'三表-利润表'!G10</f>
        <v>2610.478677616951</v>
      </c>
      <c r="G11" s="23">
        <f>'三表-利润表'!H10</f>
        <v>2734.8784985711122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3127.5949164099998</v>
      </c>
      <c r="C12" s="23">
        <f>'三表-假设'!D53</f>
        <v>3450.495298526341</v>
      </c>
      <c r="D12" s="23">
        <f>'三表-假设'!E53</f>
        <v>3584.6250703643923</v>
      </c>
      <c r="E12" s="23">
        <f>'三表-假设'!F53</f>
        <v>3770.3367894335843</v>
      </c>
      <c r="F12" s="23">
        <f>'三表-假设'!G53</f>
        <v>3965.7113566753283</v>
      </c>
      <c r="G12" s="23">
        <f>'三表-假设'!H53</f>
        <v>4171.253795236009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6575.431674890002</v>
      </c>
      <c r="C13" s="23">
        <f>'三表-假设'!D50</f>
        <v>1276.2690203039747</v>
      </c>
      <c r="D13" s="23">
        <f>'三表-假设'!E50</f>
        <v>2118.2810939064366</v>
      </c>
      <c r="E13" s="23">
        <f>'三表-假设'!F50</f>
        <v>2999.111340644151</v>
      </c>
      <c r="F13" s="23">
        <f>'三表-假设'!G50</f>
        <v>3144.4572307396156</v>
      </c>
      <c r="G13" s="23">
        <f>'三表-假设'!H50</f>
        <v>3602.766570176973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77127.15433641126</v>
      </c>
      <c r="C14" s="24">
        <f>C10+C11-C12-C13</f>
        <v>83745.45326942884</v>
      </c>
      <c r="D14" s="24">
        <f>D10+D11-D12-D13</f>
        <v>86244.4352390916</v>
      </c>
      <c r="E14" s="24">
        <f>E10+E11-E12-E13</f>
        <v>90107.55427712816</v>
      </c>
      <c r="F14" s="24">
        <f>F10+F11-F12-F13</f>
        <v>94962.56609577533</v>
      </c>
      <c r="G14" s="24">
        <f>G10+G11-G12-G13</f>
        <v>99560.84940331223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0.9638134507563182</v>
      </c>
      <c r="D17" s="26">
        <f>1/(1+$B$21)^D16</f>
        <v>0.8953213662390322</v>
      </c>
      <c r="E17" s="26">
        <f>1/(1+$B$21)^E16</f>
        <v>0.8316965780204664</v>
      </c>
      <c r="F17" s="26">
        <f>1/(1+$B$21)^F16</f>
        <v>0.7725931983469266</v>
      </c>
      <c r="G17" s="26">
        <f>1/(1+$B$21)^G16</f>
        <v>0.7176899195048088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80714.9943007602</v>
      </c>
      <c r="D18" s="24">
        <f>D14*D17</f>
        <v>77216.48558877723</v>
      </c>
      <c r="E18" s="24">
        <f>E14*E17</f>
        <v>74942.14454608093</v>
      </c>
      <c r="F18" s="24">
        <f>F14*F17</f>
        <v>73367.43266316647</v>
      </c>
      <c r="G18" s="24">
        <f>G14*G17</f>
        <v>71453.81799409354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WACC!$B$20+'三表-假设'!$D$44</f>
        <v>0.0765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'三表-假设'!$D$40</f>
        <v>0.025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377694.87509287836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1981550.8861824276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1370676.7895702175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1748371.664663096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0.7839733491873658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51690.6109465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'非经营性资产'!$B$14</f>
        <v>127224.05867686999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44.20623705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189.50494277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9321.44287689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1917731.180229756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1252.270215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1531.4036517507973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1237.0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0.23799810165787982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0.9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0.0765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0.03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0.25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0.0225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0.0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1.0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0.0765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5" customWidth="1"/>
    <col min="3" max="3" width="10.5" customWidth="1"/>
    <col min="4" max="4" width="10.5" customWidth="1"/>
    <col min="5" max="5" width="10.5" customWidth="1"/>
    <col min="6" max="6" width="10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0.015000000000000001</v>
      </c>
      <c r="C5" s="32">
        <v>0.02</v>
      </c>
      <c r="D5" s="32">
        <v>0.025</v>
      </c>
      <c r="E5" s="32">
        <v>0.030000000000000002</v>
      </c>
      <c r="F5" s="32">
        <v>0.035</v>
      </c>
    </row>
    <row r="6" ht="20" customHeight="1">
      <c r="A6" s="33">
        <v>0.0665</v>
      </c>
      <c r="B6" s="16">
        <v>1579.4777577533534</v>
      </c>
      <c r="C6" s="16">
        <v>1707.7867001620593</v>
      </c>
      <c r="D6" s="16">
        <v>1867.013460018646</v>
      </c>
      <c r="E6" s="16">
        <v>2069.8639896989553</v>
      </c>
      <c r="F6" s="16">
        <v>2337.111512928569</v>
      </c>
    </row>
    <row r="7" ht="20" customHeight="1">
      <c r="A7" s="33">
        <v>0.0715</v>
      </c>
      <c r="B7" s="16">
        <v>1451.5272182876556</v>
      </c>
      <c r="C7" s="16">
        <v>1555.1693096749616</v>
      </c>
      <c r="D7" s="16">
        <v>1681.1000228659886</v>
      </c>
      <c r="E7" s="16">
        <v>1837.3754862235294</v>
      </c>
      <c r="F7" s="16">
        <v>2036.4661450214917</v>
      </c>
    </row>
    <row r="8" ht="20" customHeight="1">
      <c r="A8" s="33">
        <v>0.0765</v>
      </c>
      <c r="B8" s="16">
        <v>1344.4852492857117</v>
      </c>
      <c r="C8" s="16">
        <v>1429.673724745463</v>
      </c>
      <c r="D8" s="9">
        <v>1531.4036517507973</v>
      </c>
      <c r="E8" s="16">
        <v>1655.0109824131928</v>
      </c>
      <c r="F8" s="16">
        <v>1808.403212030382</v>
      </c>
    </row>
    <row r="9" ht="20" customHeight="1">
      <c r="A9" s="33">
        <v>0.0815</v>
      </c>
      <c r="B9" s="16">
        <v>1253.6315230575347</v>
      </c>
      <c r="C9" s="16">
        <v>1324.6804773315773</v>
      </c>
      <c r="D9" s="16">
        <v>1408.3044677603173</v>
      </c>
      <c r="E9" s="16">
        <v>1508.1661262334733</v>
      </c>
      <c r="F9" s="16">
        <v>1629.5034101847273</v>
      </c>
    </row>
    <row r="10" ht="20" customHeight="1">
      <c r="A10" s="33">
        <v>0.0865</v>
      </c>
      <c r="B10" s="16">
        <v>1175.56624969884</v>
      </c>
      <c r="C10" s="16">
        <v>1235.5610948368123</v>
      </c>
      <c r="D10" s="16">
        <v>1305.3111993468124</v>
      </c>
      <c r="E10" s="16">
        <v>1387.4064550975206</v>
      </c>
      <c r="F10" s="16">
        <v>1485.4425372075893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14.0</v>
      </c>
      <c r="C13" s="34">
        <v>16.0</v>
      </c>
      <c r="D13" s="34">
        <v>18.0</v>
      </c>
      <c r="E13" s="34">
        <v>20.0</v>
      </c>
      <c r="F13" s="34">
        <v>22.0</v>
      </c>
    </row>
    <row r="14" ht="20" customHeight="1">
      <c r="A14" s="33">
        <v>0.0665</v>
      </c>
      <c r="B14" s="16">
        <v>1606.0476819481426</v>
      </c>
      <c r="C14" s="16">
        <v>1772.07930555282</v>
      </c>
      <c r="D14" s="16">
        <v>1938.1109291574978</v>
      </c>
      <c r="E14" s="16">
        <v>2104.1425527621755</v>
      </c>
      <c r="F14" s="16">
        <v>2270.1741763668533</v>
      </c>
    </row>
    <row r="15" ht="20" customHeight="1">
      <c r="A15" s="33">
        <v>0.0715</v>
      </c>
      <c r="B15" s="16">
        <v>1575.6600403158882</v>
      </c>
      <c r="C15" s="16">
        <v>1737.853835824433</v>
      </c>
      <c r="D15" s="16">
        <v>1900.0476313329775</v>
      </c>
      <c r="E15" s="16">
        <v>2062.2414268415228</v>
      </c>
      <c r="F15" s="16">
        <v>2224.4352223500678</v>
      </c>
    </row>
    <row r="16" ht="20" customHeight="1">
      <c r="A16" s="33">
        <v>0.0765</v>
      </c>
      <c r="B16" s="16">
        <v>1546.0836322322102</v>
      </c>
      <c r="C16" s="16">
        <v>1704.5455628973984</v>
      </c>
      <c r="D16" s="9">
        <v>1863.0074935625862</v>
      </c>
      <c r="E16" s="16">
        <v>2021.4694242277747</v>
      </c>
      <c r="F16" s="16">
        <v>2179.931354892963</v>
      </c>
    </row>
    <row r="17" ht="20" customHeight="1">
      <c r="A17" s="33">
        <v>0.0815</v>
      </c>
      <c r="B17" s="16">
        <v>1517.2928885571966</v>
      </c>
      <c r="C17" s="16">
        <v>1672.1255200111518</v>
      </c>
      <c r="D17" s="16">
        <v>1826.9581514651068</v>
      </c>
      <c r="E17" s="16">
        <v>1981.7907829190622</v>
      </c>
      <c r="F17" s="16">
        <v>2136.623414373017</v>
      </c>
    </row>
    <row r="18" ht="20" customHeight="1">
      <c r="A18" s="33">
        <v>0.0865</v>
      </c>
      <c r="B18" s="16">
        <v>1489.2631630361666</v>
      </c>
      <c r="C18" s="16">
        <v>1640.5657872266945</v>
      </c>
      <c r="D18" s="16">
        <v>1791.868411417222</v>
      </c>
      <c r="E18" s="16">
        <v>1943.17103560775</v>
      </c>
      <c r="F18" s="16">
        <v>2094.473659798278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1370.8323811780517</v>
      </c>
      <c r="C22" s="16">
        <v>1400.6567822447662</v>
      </c>
      <c r="D22" s="16">
        <v>1430.4811833114813</v>
      </c>
      <c r="E22" s="16">
        <v>1460.3055843781963</v>
      </c>
      <c r="F22" s="16">
        <v>1490.129985444911</v>
      </c>
    </row>
    <row r="23" ht="20" customHeight="1">
      <c r="A23" s="36">
        <v>-0.01</v>
      </c>
      <c r="B23" s="16">
        <v>1417.8075110390384</v>
      </c>
      <c r="C23" s="16">
        <v>1448.9801103807101</v>
      </c>
      <c r="D23" s="16">
        <v>1480.1527097223823</v>
      </c>
      <c r="E23" s="16">
        <v>1511.3253090640542</v>
      </c>
      <c r="F23" s="16">
        <v>1542.4979084057263</v>
      </c>
    </row>
    <row r="24" ht="20" customHeight="1">
      <c r="A24" s="36">
        <v>0.0</v>
      </c>
      <c r="B24" s="16">
        <v>1466.2609308626877</v>
      </c>
      <c r="C24" s="16">
        <v>1498.8322913067425</v>
      </c>
      <c r="D24" s="9">
        <v>1531.4036517507973</v>
      </c>
      <c r="E24" s="16">
        <v>1563.9750121948523</v>
      </c>
      <c r="F24" s="16">
        <v>1596.5463726389069</v>
      </c>
    </row>
    <row r="25" ht="20" customHeight="1">
      <c r="A25" s="36">
        <v>0.01</v>
      </c>
      <c r="B25" s="16">
        <v>1516.226615868894</v>
      </c>
      <c r="C25" s="16">
        <v>1550.2487450920833</v>
      </c>
      <c r="D25" s="16">
        <v>1584.270874315272</v>
      </c>
      <c r="E25" s="16">
        <v>1618.2930035384609</v>
      </c>
      <c r="F25" s="16">
        <v>1652.3151327616501</v>
      </c>
    </row>
    <row r="26" ht="20" customHeight="1">
      <c r="A26" s="36">
        <v>0.02</v>
      </c>
      <c r="B26" s="16">
        <v>1567.739030550839</v>
      </c>
      <c r="C26" s="16">
        <v>1603.2654086208613</v>
      </c>
      <c r="D26" s="16">
        <v>1638.791786690883</v>
      </c>
      <c r="E26" s="16">
        <v>1674.318164760905</v>
      </c>
      <c r="F26" s="16">
        <v>1709.8445428309274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2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拆出资金</t>
          </r>
        </is>
      </c>
      <c r="B5" s="22">
        <v>99096.18805975</v>
      </c>
      <c r="C5" s="12" t="inlineStr">
        <is>
          <t xml:space="preserve">p.56</t>
        </is>
      </c>
      <c r="D5" s="12" t="inlineStr">
        <is>
          <t xml:space="preserve">99,096,188,059.75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买入返售金融资产</t>
          </r>
        </is>
      </c>
      <c r="B6" s="22">
        <v>8879.708146969999</v>
      </c>
      <c r="C6" s="12" t="inlineStr">
        <is>
          <t xml:space="preserve">p.57</t>
        </is>
      </c>
      <c r="D6" s="12" t="inlineStr">
        <is>
          <t xml:space="preserve">8,879,708,146.97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一年内到期的非流动资产</t>
          </r>
        </is>
      </c>
      <c r="B7" s="22">
        <v>26871.11461271</v>
      </c>
      <c r="C7" s="12" t="inlineStr">
        <is>
          <t xml:space="preserve">p.57</t>
        </is>
      </c>
      <c r="D7" s="12" t="inlineStr">
        <is>
          <t xml:space="preserve">26,871,114,612.71</t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发放贷款和垫款</t>
          </r>
        </is>
      </c>
      <c r="B8" s="22">
        <v>1553.53674478</v>
      </c>
      <c r="C8" s="12" t="inlineStr">
        <is>
          <t xml:space="preserve">p.57</t>
        </is>
      </c>
      <c r="D8" s="12" t="inlineStr">
        <is>
          <t xml:space="preserve">1,553,536,744.78</t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债权投资</t>
          </r>
        </is>
      </c>
      <c r="B9" s="22">
        <v>1113.03240566</v>
      </c>
      <c r="C9" s="12" t="inlineStr">
        <is>
          <t xml:space="preserve">p.57</t>
        </is>
      </c>
      <c r="D9" s="12" t="inlineStr">
        <is>
          <t xml:space="preserve">1,113,032,405.66</t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其他债权投资</t>
          </r>
        </is>
      </c>
      <c r="B10" s="22">
        <v>3496.53901641</v>
      </c>
      <c r="C10" s="12" t="inlineStr">
        <is>
          <t xml:space="preserve">p.57</t>
        </is>
      </c>
      <c r="D10" s="12" t="inlineStr">
        <is>
          <t xml:space="preserve">3,496,539,016.41</t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11" s="22">
        <v>147.18187367</v>
      </c>
      <c r="C11" s="12" t="inlineStr">
        <is>
          <t xml:space="preserve">p.57</t>
        </is>
      </c>
      <c r="D11" s="12" t="inlineStr">
        <is>
          <t xml:space="preserve">147,181,873.67</t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其他非流动金融资产</t>
          </r>
        </is>
      </c>
      <c r="B12" s="22">
        <v>4105.14159322</v>
      </c>
      <c r="C12" s="12" t="inlineStr">
        <is>
          <t xml:space="preserve">p.57</t>
        </is>
      </c>
      <c r="D12" s="12" t="inlineStr">
        <is>
          <t xml:space="preserve">4,105,141,593.22</t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减：吸收存款及同业存放</t>
          </r>
        </is>
      </c>
      <c r="B13" s="22">
        <v>-18038.3837763</v>
      </c>
      <c r="C13" s="12" t="inlineStr">
        <is>
          <t xml:space="preserve">p.58</t>
        </is>
      </c>
      <c r="D13" s="12" t="inlineStr">
        <is>
          <t xml:space="preserve">18,038,383,776.30</t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14" s="24">
        <f>SUM(B5:B13)</f>
        <v>127224.05867687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分部预测：产品量价、毛利率与费用率（驱动三表）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单位：百万元；蓝色为输入（报表值、驱动假设），黑色为公式，绿色为跨表引用；吨价单位万元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吨；收入增速、综合毛利率、经营费用率由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按情景开关引用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分部预测（百万元）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基准情景</t>
          </r>
        </is>
      </c>
      <c r="B5" s="31"/>
      <c r="C5" s="31"/>
      <c r="D5" s="31"/>
      <c r="E5" s="31"/>
      <c r="F5" s="31"/>
      <c r="G5" s="31"/>
      <c r="H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茅台酒：销量增速</t>
          </r>
        </is>
      </c>
      <c r="B6" s="12"/>
      <c r="C6" s="12"/>
      <c r="D6" s="30">
        <v>0.03</v>
      </c>
      <c r="E6" s="30">
        <v>0.03</v>
      </c>
      <c r="F6" s="30">
        <v>0.03</v>
      </c>
      <c r="G6" s="30">
        <v>0.03</v>
      </c>
      <c r="H6" s="30">
        <v>0.03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茅台酒：销量（吨）</t>
          </r>
        </is>
      </c>
      <c r="B7" s="12"/>
      <c r="C7" s="37">
        <v>46750.66</v>
      </c>
      <c r="D7" s="38">
        <f>C7*(1+D6)</f>
        <v>48153.179800000005</v>
      </c>
      <c r="E7" s="38">
        <f>D7*(1+E6)</f>
        <v>49597.77519400001</v>
      </c>
      <c r="F7" s="38">
        <f>E7*(1+F6)</f>
        <v>51085.70844982001</v>
      </c>
      <c r="G7" s="38">
        <f>F7*(1+G6)</f>
        <v>52618.27970331461</v>
      </c>
      <c r="H7" s="38">
        <f>G7*(1+H6)</f>
        <v>54196.82809441405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茅台酒：吨价增速</t>
          </r>
        </is>
      </c>
      <c r="B8" s="12"/>
      <c r="C8" s="12"/>
      <c r="D8" s="30">
        <v>0.0</v>
      </c>
      <c r="E8" s="30">
        <v>0.01</v>
      </c>
      <c r="F8" s="30">
        <v>0.02</v>
      </c>
      <c r="G8" s="30">
        <v>0.02</v>
      </c>
      <c r="H8" s="30">
        <v>0.02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茅台酒：吨价（万元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9" s="12"/>
      <c r="C9" s="16">
        <f>C10*100/C7</f>
        <v>313.364359948052</v>
      </c>
      <c r="D9" s="16">
        <f>C9*(1+D8)</f>
        <v>313.364359948052</v>
      </c>
      <c r="E9" s="16">
        <f>D9*(1+E8)</f>
        <v>316.49800354753256</v>
      </c>
      <c r="F9" s="16">
        <f>E9*(1+F8)</f>
        <v>322.82796361848324</v>
      </c>
      <c r="G9" s="16">
        <f>F9*(1+G8)</f>
        <v>329.2845228908529</v>
      </c>
      <c r="H9" s="16">
        <f>G9*(1+H8)</f>
        <v>335.87021334866995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茅台酒：收入</t>
          </r>
        </is>
      </c>
      <c r="B10" s="19"/>
      <c r="C10" s="20">
        <v>146499.90648049</v>
      </c>
      <c r="D10" s="24">
        <f>D7*D9/100</f>
        <v>150894.9036749047</v>
      </c>
      <c r="E10" s="24">
        <f>E7*E9/100</f>
        <v>156975.96829300336</v>
      </c>
      <c r="F10" s="24">
        <f>F7*F9/100</f>
        <v>164918.95228862937</v>
      </c>
      <c r="G10" s="24">
        <f>G7*G9/100</f>
        <v>173263.85127443398</v>
      </c>
      <c r="H10" s="24">
        <f>H7*H9/100</f>
        <v>182031.00214892038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茅台酒：毛利率变动（百分点）</t>
          </r>
        </is>
      </c>
      <c r="B11" s="12"/>
      <c r="C11" s="12"/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茅台酒：毛利率</t>
          </r>
        </is>
      </c>
      <c r="B12" s="12"/>
      <c r="C12" s="14">
        <f>1-C13/C10</f>
        <v>0.9352575844353653</v>
      </c>
      <c r="D12" s="14">
        <f>C12+D11/100</f>
        <v>0.9352575844353653</v>
      </c>
      <c r="E12" s="14">
        <f>D12+E11/100</f>
        <v>0.9352575844353653</v>
      </c>
      <c r="F12" s="14">
        <f>E12+F11/100</f>
        <v>0.9352575844353653</v>
      </c>
      <c r="G12" s="14">
        <f>F12+G11/100</f>
        <v>0.9352575844353653</v>
      </c>
      <c r="H12" s="14">
        <f>G12+H11/100</f>
        <v>0.9352575844353653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茅台酒：营业成本</t>
          </r>
        </is>
      </c>
      <c r="B13" s="12"/>
      <c r="C13" s="22">
        <v>9484.75782554</v>
      </c>
      <c r="D13" s="15">
        <f>D10*(1-D12)</f>
        <v>9769.3005603062</v>
      </c>
      <c r="E13" s="15">
        <f>E10*(1-E12)</f>
        <v>10163.003372886538</v>
      </c>
      <c r="F13" s="15">
        <f>F10*(1-F12)</f>
        <v>10677.2513435546</v>
      </c>
      <c r="G13" s="15">
        <f>G10*(1-G12)</f>
        <v>11217.52026153846</v>
      </c>
      <c r="H13" s="15">
        <f>H10*(1-H12)</f>
        <v>11785.126786772309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系列酒：销量增速</t>
          </r>
        </is>
      </c>
      <c r="B14" s="12"/>
      <c r="C14" s="12"/>
      <c r="D14" s="30">
        <v>0.03</v>
      </c>
      <c r="E14" s="30">
        <v>0.05</v>
      </c>
      <c r="F14" s="30">
        <v>0.05</v>
      </c>
      <c r="G14" s="30">
        <v>0.05</v>
      </c>
      <c r="H14" s="30">
        <v>0.05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系列酒：销量（吨）</t>
          </r>
        </is>
      </c>
      <c r="B15" s="12"/>
      <c r="C15" s="37">
        <v>38353.48</v>
      </c>
      <c r="D15" s="38">
        <f>C15*(1+D14)</f>
        <v>39504.08440000001</v>
      </c>
      <c r="E15" s="38">
        <f>D15*(1+E14)</f>
        <v>41479.28862000001</v>
      </c>
      <c r="F15" s="38">
        <f>E15*(1+F14)</f>
        <v>43553.25305100001</v>
      </c>
      <c r="G15" s="38">
        <f>F15*(1+G14)</f>
        <v>45730.91570355001</v>
      </c>
      <c r="H15" s="38">
        <f>G15*(1+H14)</f>
        <v>48017.46148872751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系列酒：吨价增速</t>
          </r>
        </is>
      </c>
      <c r="B16" s="12"/>
      <c r="C16" s="12"/>
      <c r="D16" s="30">
        <v>-0.06</v>
      </c>
      <c r="E16" s="30">
        <v>-0.02</v>
      </c>
      <c r="F16" s="30">
        <v>0.01</v>
      </c>
      <c r="G16" s="30">
        <v>0.01</v>
      </c>
      <c r="H16" s="30">
        <v>0.01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系列酒：吨价（万元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17" s="12"/>
      <c r="C17" s="16">
        <f>C18*100/C15</f>
        <v>58.077334070233</v>
      </c>
      <c r="D17" s="16">
        <f>C17*(1+D16)</f>
        <v>54.59269402601902</v>
      </c>
      <c r="E17" s="16">
        <f>D17*(1+E16)</f>
        <v>53.500840145498636</v>
      </c>
      <c r="F17" s="16">
        <f>E17*(1+F16)</f>
        <v>54.03584854695362</v>
      </c>
      <c r="G17" s="16">
        <f>F17*(1+G16)</f>
        <v>54.57620703242316</v>
      </c>
      <c r="H17" s="16">
        <f>G17*(1+H16)</f>
        <v>55.12196910274739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系列酒：收入</t>
          </r>
        </is>
      </c>
      <c r="B18" s="19"/>
      <c r="C18" s="20">
        <v>22274.67870716</v>
      </c>
      <c r="D18" s="24">
        <f>D15*D17/100</f>
        <v>21566.343924272318</v>
      </c>
      <c r="E18" s="24">
        <f>E15*E17/100</f>
        <v>22191.76789807621</v>
      </c>
      <c r="F18" s="24">
        <f>F15*F17/100</f>
        <v>23534.369855909823</v>
      </c>
      <c r="G18" s="24">
        <f>G15*G17/100</f>
        <v>24958.19923219237</v>
      </c>
      <c r="H18" s="24">
        <f>H15*H17/100</f>
        <v>26468.170285740005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系列酒：毛利率变动（百分点）</t>
          </r>
        </is>
      </c>
      <c r="B19" s="12"/>
      <c r="C19" s="12"/>
      <c r="D19" s="39">
        <v>-1.0</v>
      </c>
      <c r="E19" s="39">
        <v>0.0</v>
      </c>
      <c r="F19" s="39">
        <v>0.3</v>
      </c>
      <c r="G19" s="39">
        <v>0.3</v>
      </c>
      <c r="H19" s="39">
        <v>0.0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系列酒：毛利率</t>
          </r>
        </is>
      </c>
      <c r="B20" s="12"/>
      <c r="C20" s="14">
        <f>1-C21/C18</f>
        <v>0.7611124998027664</v>
      </c>
      <c r="D20" s="14">
        <f>C20+D19/100</f>
        <v>0.7511124998027664</v>
      </c>
      <c r="E20" s="14">
        <f>D20+E19/100</f>
        <v>0.7511124998027664</v>
      </c>
      <c r="F20" s="14">
        <f>E20+F19/100</f>
        <v>0.7541124998027664</v>
      </c>
      <c r="G20" s="14">
        <f>F20+G19/100</f>
        <v>0.7571124998027664</v>
      </c>
      <c r="H20" s="14">
        <f>G20+H19/100</f>
        <v>0.7571124998027664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系列酒：营业成本</t>
          </r>
        </is>
      </c>
      <c r="B21" s="12"/>
      <c r="C21" s="22">
        <v>5321.14231405</v>
      </c>
      <c r="D21" s="15">
        <f>D18*(1-D20)</f>
        <v>5367.593427705934</v>
      </c>
      <c r="E21" s="15">
        <f>E18*(1-E20)</f>
        <v>5523.253637109405</v>
      </c>
      <c r="F21" s="15">
        <f>F18*(1-F20)</f>
        <v>5786.807372586795</v>
      </c>
      <c r="G21" s="15">
        <f>G18*(1-G20)</f>
        <v>6062.03462093172</v>
      </c>
      <c r="H21" s="15">
        <f>H18*(1-H20)</f>
        <v>6428.787715498088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22" s="12"/>
      <c r="C22" s="22">
        <v>63.51732714002719</v>
      </c>
      <c r="D22" s="15">
        <f>C22</f>
        <v>63.51732714002719</v>
      </c>
      <c r="E22" s="15">
        <f>D22</f>
        <v>63.51732714002719</v>
      </c>
      <c r="F22" s="15">
        <f>E22</f>
        <v>63.51732714002719</v>
      </c>
      <c r="G22" s="15">
        <f>F22</f>
        <v>63.51732714002719</v>
      </c>
      <c r="H22" s="15">
        <f>G22</f>
        <v>63.51732714002719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23" s="12"/>
      <c r="C23" s="22">
        <v>86.37743131999923</v>
      </c>
      <c r="D23" s="15">
        <f>C23</f>
        <v>86.37743131999923</v>
      </c>
      <c r="E23" s="15">
        <f>D23</f>
        <v>86.37743131999923</v>
      </c>
      <c r="F23" s="15">
        <f>E23</f>
        <v>86.37743131999923</v>
      </c>
      <c r="G23" s="15">
        <f>F23</f>
        <v>86.37743131999923</v>
      </c>
      <c r="H23" s="15">
        <f>G23</f>
        <v>86.37743131999923</v>
      </c>
    </row>
    <row r="24" ht="20" customHeight="1">
      <c r="A24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24" s="19"/>
      <c r="C24" s="24">
        <f>C10+C18+C22</f>
        <v>168838.10251479002</v>
      </c>
      <c r="D24" s="24">
        <f>D10+D18+D22</f>
        <v>172524.76492631703</v>
      </c>
      <c r="E24" s="24">
        <f>E10+E18+E22</f>
        <v>179231.2535182196</v>
      </c>
      <c r="F24" s="24">
        <f>F10+F18+F22</f>
        <v>188516.8394716792</v>
      </c>
      <c r="G24" s="24">
        <f>G10+G18+G22</f>
        <v>198285.56783376637</v>
      </c>
      <c r="H24" s="24">
        <f>H10+H18+H22</f>
        <v>208562.6897618004</v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25" s="12"/>
      <c r="C25" s="12"/>
      <c r="D25" s="14">
        <f>D24/C24-1</f>
        <v>0.021835488296867434</v>
      </c>
      <c r="E25" s="14">
        <f>E24/D24-1</f>
        <v>0.03887261399699238</v>
      </c>
      <c r="F25" s="14">
        <f>F24/E24-1</f>
        <v>0.05180785031175206</v>
      </c>
      <c r="G25" s="14">
        <f>G24/F24-1</f>
        <v>0.05181886344723452</v>
      </c>
      <c r="H25" s="14">
        <f>H24/G24-1</f>
        <v>0.05182990391237108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26" s="12"/>
      <c r="C26" s="15">
        <f>C13+C21+C23</f>
        <v>14892.27757091</v>
      </c>
      <c r="D26" s="15">
        <f>D13+D21+D23</f>
        <v>15223.27141933214</v>
      </c>
      <c r="E26" s="15">
        <f>E13+E21+E23</f>
        <v>15772.634441315951</v>
      </c>
      <c r="F26" s="15">
        <f>F13+F21+F23</f>
        <v>16550.43614746139</v>
      </c>
      <c r="G26" s="15">
        <f>G13+G21+G23</f>
        <v>17365.932313790177</v>
      </c>
      <c r="H26" s="15">
        <f>H13+H21+H23</f>
        <v>18300.2919335904</v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27" s="19"/>
      <c r="C27" s="40">
        <f>1-C26/C24</f>
        <v>0.9117955168348006</v>
      </c>
      <c r="D27" s="40">
        <f>1-D26/D24</f>
        <v>0.9117618190882115</v>
      </c>
      <c r="E27" s="40">
        <f>1-E26/E24</f>
        <v>0.9119984147200499</v>
      </c>
      <c r="F27" s="40">
        <f>1-F26/F24</f>
        <v>0.9122071206272915</v>
      </c>
      <c r="G27" s="40">
        <f>1-G26/G24</f>
        <v>0.9124195850282508</v>
      </c>
      <c r="H27" s="40">
        <f>1-H26/H24</f>
        <v>0.9122551979239855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28" s="12"/>
      <c r="C28" s="28">
        <v>0.16201454101560872</v>
      </c>
      <c r="D28" s="28">
        <v>0.16201454101560872</v>
      </c>
      <c r="E28" s="28">
        <v>0.16201454101560872</v>
      </c>
      <c r="F28" s="28">
        <v>0.16201454101560872</v>
      </c>
      <c r="G28" s="28">
        <v>0.16201454101560872</v>
      </c>
      <c r="H28" s="28">
        <v>0.16201454101560872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29" s="12"/>
      <c r="C29" s="28">
        <v>0.04296127173097437</v>
      </c>
      <c r="D29" s="28">
        <v>0.045</v>
      </c>
      <c r="E29" s="28">
        <v>0.045</v>
      </c>
      <c r="F29" s="28">
        <v>0.044</v>
      </c>
      <c r="G29" s="28">
        <v>0.043</v>
      </c>
      <c r="H29" s="28">
        <v>0.043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30" s="12"/>
      <c r="C30" s="28">
        <v>0.04927834141544662</v>
      </c>
      <c r="D30" s="28">
        <v>0.04927834141544662</v>
      </c>
      <c r="E30" s="28">
        <v>0.04927834141544662</v>
      </c>
      <c r="F30" s="28">
        <v>0.04927834141544662</v>
      </c>
      <c r="G30" s="28">
        <v>0.04927834141544662</v>
      </c>
      <c r="H30" s="28">
        <v>0.04927834141544662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31" s="12"/>
      <c r="C31" s="28">
        <v>0.0011260032169773193</v>
      </c>
      <c r="D31" s="28">
        <v>0.0011260032169773193</v>
      </c>
      <c r="E31" s="28">
        <v>0.0011260032169773193</v>
      </c>
      <c r="F31" s="28">
        <v>0.0011260032169773193</v>
      </c>
      <c r="G31" s="28">
        <v>0.0011260032169773193</v>
      </c>
      <c r="H31" s="28">
        <v>0.0011260032169773193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32" s="12"/>
      <c r="C32" s="28">
        <v>-0.0309072757372576</v>
      </c>
      <c r="D32" s="28">
        <v>-0.0309072757372576</v>
      </c>
      <c r="E32" s="28">
        <v>-0.0309072757372576</v>
      </c>
      <c r="F32" s="28">
        <v>-0.0309072757372576</v>
      </c>
      <c r="G32" s="28">
        <v>-0.0309072757372576</v>
      </c>
      <c r="H32" s="28">
        <v>-0.0309072757372576</v>
      </c>
    </row>
    <row r="33" ht="20" customHeight="1">
      <c r="A33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33" s="19"/>
      <c r="C33" s="29">
        <f>SUM(C28:C32)</f>
        <v>0.22447288164174944</v>
      </c>
      <c r="D33" s="29">
        <f>SUM(D28:D32)</f>
        <v>0.22651160991077507</v>
      </c>
      <c r="E33" s="29">
        <f>SUM(E28:E32)</f>
        <v>0.22651160991077507</v>
      </c>
      <c r="F33" s="29">
        <f>SUM(F28:F32)</f>
        <v>0.22551160991077507</v>
      </c>
      <c r="G33" s="29">
        <f>SUM(G28:G32)</f>
        <v>0.22451160991077507</v>
      </c>
      <c r="H33" s="29">
        <f>SUM(H28:H32)</f>
        <v>0.22451160991077507</v>
      </c>
    </row>
    <row r="34" ht="20" customHeight="1">
      <c r="A34" s="31" t="inlineStr">
        <is>
          <r>
            <rPr>
              <b/>
              <sz val="12"/>
              <rFont val="KaiTi"/>
              <family val="2"/>
            </rPr>
            <t xml:space="preserve">悲观情景</t>
          </r>
        </is>
      </c>
      <c r="B34" s="31"/>
      <c r="C34" s="31"/>
      <c r="D34" s="31"/>
      <c r="E34" s="31"/>
      <c r="F34" s="31"/>
      <c r="G34" s="31"/>
      <c r="H34" s="31"/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茅台酒：销量增速</t>
          </r>
        </is>
      </c>
      <c r="B35" s="12"/>
      <c r="C35" s="12"/>
      <c r="D35" s="30">
        <v>0.0</v>
      </c>
      <c r="E35" s="30">
        <v>0.01</v>
      </c>
      <c r="F35" s="30">
        <v>0.02</v>
      </c>
      <c r="G35" s="30">
        <v>0.02</v>
      </c>
      <c r="H35" s="30">
        <v>0.02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茅台酒：销量（吨）</t>
          </r>
        </is>
      </c>
      <c r="B36" s="12"/>
      <c r="C36" s="37">
        <v>46750.66</v>
      </c>
      <c r="D36" s="38">
        <f>C36*(1+D35)</f>
        <v>46750.66</v>
      </c>
      <c r="E36" s="38">
        <f>D36*(1+E35)</f>
        <v>47218.166600000004</v>
      </c>
      <c r="F36" s="38">
        <f>E36*(1+F35)</f>
        <v>48162.529932000005</v>
      </c>
      <c r="G36" s="38">
        <f>F36*(1+G35)</f>
        <v>49125.780530640004</v>
      </c>
      <c r="H36" s="38">
        <f>G36*(1+H35)</f>
        <v>50108.2961412528</v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茅台酒：吨价增速</t>
          </r>
        </is>
      </c>
      <c r="B37" s="12"/>
      <c r="C37" s="12"/>
      <c r="D37" s="30">
        <v>-0.05</v>
      </c>
      <c r="E37" s="30">
        <v>-0.02</v>
      </c>
      <c r="F37" s="30">
        <v>0.0</v>
      </c>
      <c r="G37" s="30">
        <v>0.01</v>
      </c>
      <c r="H37" s="30">
        <v>0.01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茅台酒：吨价（万元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38" s="12"/>
      <c r="C38" s="16">
        <f>C39*100/C36</f>
        <v>313.364359948052</v>
      </c>
      <c r="D38" s="16">
        <f>C38*(1+D37)</f>
        <v>297.6961419506494</v>
      </c>
      <c r="E38" s="16">
        <f>D38*(1+E37)</f>
        <v>291.7422191116364</v>
      </c>
      <c r="F38" s="16">
        <f>E38*(1+F37)</f>
        <v>291.7422191116364</v>
      </c>
      <c r="G38" s="16">
        <f>F38*(1+G37)</f>
        <v>294.6596413027528</v>
      </c>
      <c r="H38" s="16">
        <f>G38*(1+H37)</f>
        <v>297.6062377157803</v>
      </c>
    </row>
    <row r="39" ht="20" customHeight="1">
      <c r="A39" s="19" t="inlineStr">
        <is>
          <r>
            <rPr>
              <b/>
              <sz val="12"/>
              <rFont val="KaiTi"/>
              <family val="2"/>
            </rPr>
            <t xml:space="preserve">茅台酒：收入</t>
          </r>
        </is>
      </c>
      <c r="B39" s="19"/>
      <c r="C39" s="20">
        <v>146499.90648049</v>
      </c>
      <c r="D39" s="24">
        <f>D36*D38/100</f>
        <v>139174.91115646547</v>
      </c>
      <c r="E39" s="24">
        <f>E36*E38/100</f>
        <v>137755.32706266953</v>
      </c>
      <c r="F39" s="24">
        <f>F36*F38/100</f>
        <v>140510.43360392292</v>
      </c>
      <c r="G39" s="24">
        <f>G36*G38/100</f>
        <v>144753.8486987614</v>
      </c>
      <c r="H39" s="24">
        <f>H36*H38/100</f>
        <v>149125.414929464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茅台酒：毛利率变动（百分点）</t>
          </r>
        </is>
      </c>
      <c r="B40" s="12"/>
      <c r="C40" s="12"/>
      <c r="D40" s="39">
        <v>-0.5</v>
      </c>
      <c r="E40" s="39">
        <v>0.0</v>
      </c>
      <c r="F40" s="39">
        <v>0.0</v>
      </c>
      <c r="G40" s="39">
        <v>0.0</v>
      </c>
      <c r="H40" s="39">
        <v>0.0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茅台酒：毛利率</t>
          </r>
        </is>
      </c>
      <c r="B41" s="12"/>
      <c r="C41" s="14">
        <f>1-C42/C39</f>
        <v>0.9352575844353653</v>
      </c>
      <c r="D41" s="14">
        <f>C41+D40/100</f>
        <v>0.9302575844353653</v>
      </c>
      <c r="E41" s="14">
        <f>D41+E40/100</f>
        <v>0.9302575844353653</v>
      </c>
      <c r="F41" s="14">
        <f>E41+F40/100</f>
        <v>0.9302575844353653</v>
      </c>
      <c r="G41" s="14">
        <f>F41+G40/100</f>
        <v>0.9302575844353653</v>
      </c>
      <c r="H41" s="14">
        <f>G41+H40/100</f>
        <v>0.9302575844353653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茅台酒：营业成本</t>
          </r>
        </is>
      </c>
      <c r="B42" s="12"/>
      <c r="C42" s="22">
        <v>9484.75782554</v>
      </c>
      <c r="D42" s="15">
        <f>D39*(1-D41)</f>
        <v>9706.394490045326</v>
      </c>
      <c r="E42" s="15">
        <f>E39*(1-E41)</f>
        <v>9607.389266246864</v>
      </c>
      <c r="F42" s="15">
        <f>F39*(1-F41)</f>
        <v>9799.5370515718</v>
      </c>
      <c r="G42" s="15">
        <f>G39*(1-G41)</f>
        <v>10095.48307052927</v>
      </c>
      <c r="H42" s="15">
        <f>H39*(1-H41)</f>
        <v>10400.366659259254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系列酒：销量增速</t>
          </r>
        </is>
      </c>
      <c r="B43" s="12"/>
      <c r="C43" s="12"/>
      <c r="D43" s="30">
        <v>0.0</v>
      </c>
      <c r="E43" s="30">
        <v>0.02</v>
      </c>
      <c r="F43" s="30">
        <v>0.03</v>
      </c>
      <c r="G43" s="30">
        <v>0.03</v>
      </c>
      <c r="H43" s="30">
        <v>0.03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系列酒：销量（吨）</t>
          </r>
        </is>
      </c>
      <c r="B44" s="12"/>
      <c r="C44" s="37">
        <v>38353.48</v>
      </c>
      <c r="D44" s="38">
        <f>C44*(1+D43)</f>
        <v>38353.48</v>
      </c>
      <c r="E44" s="38">
        <f>D44*(1+E43)</f>
        <v>39120.549600000006</v>
      </c>
      <c r="F44" s="38">
        <f>E44*(1+F43)</f>
        <v>40294.166088000005</v>
      </c>
      <c r="G44" s="38">
        <f>F44*(1+G43)</f>
        <v>41502.991070640004</v>
      </c>
      <c r="H44" s="38">
        <f>G44*(1+H43)</f>
        <v>42748.08080275921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系列酒：吨价增速</t>
          </r>
        </is>
      </c>
      <c r="B45" s="12"/>
      <c r="C45" s="12"/>
      <c r="D45" s="30">
        <v>-0.1</v>
      </c>
      <c r="E45" s="30">
        <v>-0.05</v>
      </c>
      <c r="F45" s="30">
        <v>0.0</v>
      </c>
      <c r="G45" s="30">
        <v>0.0</v>
      </c>
      <c r="H45" s="30">
        <v>0.0</v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系列酒：吨价（万元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46" s="12"/>
      <c r="C46" s="16">
        <f>C47*100/C44</f>
        <v>58.077334070233</v>
      </c>
      <c r="D46" s="16">
        <f>C46*(1+D45)</f>
        <v>52.2696006632097</v>
      </c>
      <c r="E46" s="16">
        <f>D46*(1+E45)</f>
        <v>49.656120630049216</v>
      </c>
      <c r="F46" s="16">
        <f>E46*(1+F45)</f>
        <v>49.656120630049216</v>
      </c>
      <c r="G46" s="16">
        <f>F46*(1+G45)</f>
        <v>49.656120630049216</v>
      </c>
      <c r="H46" s="16">
        <f>G46*(1+H45)</f>
        <v>49.656120630049216</v>
      </c>
    </row>
    <row r="47" ht="20" customHeight="1">
      <c r="A47" s="19" t="inlineStr">
        <is>
          <r>
            <rPr>
              <b/>
              <sz val="12"/>
              <rFont val="KaiTi"/>
              <family val="2"/>
            </rPr>
            <t xml:space="preserve">系列酒：收入</t>
          </r>
        </is>
      </c>
      <c r="B47" s="19"/>
      <c r="C47" s="20">
        <v>22274.67870716</v>
      </c>
      <c r="D47" s="24">
        <f>D44*D46/100</f>
        <v>20047.210836444003</v>
      </c>
      <c r="E47" s="24">
        <f>E44*E46/100</f>
        <v>19425.74730051424</v>
      </c>
      <c r="F47" s="24">
        <f>F44*F46/100</f>
        <v>20008.519719529668</v>
      </c>
      <c r="G47" s="24">
        <f>G44*G46/100</f>
        <v>20608.775311115554</v>
      </c>
      <c r="H47" s="24">
        <f>H44*H46/100</f>
        <v>21227.03857044902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系列酒：毛利率变动（百分点）</t>
          </r>
        </is>
      </c>
      <c r="B48" s="12"/>
      <c r="C48" s="12"/>
      <c r="D48" s="39">
        <v>-2.0</v>
      </c>
      <c r="E48" s="39">
        <v>-1.0</v>
      </c>
      <c r="F48" s="39">
        <v>0.0</v>
      </c>
      <c r="G48" s="39">
        <v>0.0</v>
      </c>
      <c r="H48" s="39">
        <v>0.0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系列酒：毛利率</t>
          </r>
        </is>
      </c>
      <c r="B49" s="12"/>
      <c r="C49" s="14">
        <f>1-C50/C47</f>
        <v>0.7611124998027664</v>
      </c>
      <c r="D49" s="14">
        <f>C49+D48/100</f>
        <v>0.7411124998027664</v>
      </c>
      <c r="E49" s="14">
        <f>D49+E48/100</f>
        <v>0.7311124998027664</v>
      </c>
      <c r="F49" s="14">
        <f>E49+F48/100</f>
        <v>0.7311124998027664</v>
      </c>
      <c r="G49" s="14">
        <f>F49+G48/100</f>
        <v>0.7311124998027664</v>
      </c>
      <c r="H49" s="14">
        <f>G49+H48/100</f>
        <v>0.7311124998027664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系列酒：营业成本</t>
          </r>
        </is>
      </c>
      <c r="B50" s="12"/>
      <c r="C50" s="22">
        <v>5321.14231405</v>
      </c>
      <c r="D50" s="15">
        <f>D47*(1-D49)</f>
        <v>5189.972299373881</v>
      </c>
      <c r="E50" s="15">
        <f>E47*(1-E49)</f>
        <v>5223.340631098433</v>
      </c>
      <c r="F50" s="15">
        <f>F47*(1-F49)</f>
        <v>5380.040850031386</v>
      </c>
      <c r="G50" s="15">
        <f>G47*(1-G49)</f>
        <v>5541.442075532327</v>
      </c>
      <c r="H50" s="15">
        <f>H47*(1-H49)</f>
        <v>5707.685337798297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51" s="12"/>
      <c r="C51" s="22">
        <v>63.51732714002719</v>
      </c>
      <c r="D51" s="15">
        <f>C51</f>
        <v>63.51732714002719</v>
      </c>
      <c r="E51" s="15">
        <f>D51</f>
        <v>63.51732714002719</v>
      </c>
      <c r="F51" s="15">
        <f>E51</f>
        <v>63.51732714002719</v>
      </c>
      <c r="G51" s="15">
        <f>F51</f>
        <v>63.51732714002719</v>
      </c>
      <c r="H51" s="15">
        <f>G51</f>
        <v>63.51732714002719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52" s="12"/>
      <c r="C52" s="22">
        <v>86.37743131999923</v>
      </c>
      <c r="D52" s="15">
        <f>C52</f>
        <v>86.37743131999923</v>
      </c>
      <c r="E52" s="15">
        <f>D52</f>
        <v>86.37743131999923</v>
      </c>
      <c r="F52" s="15">
        <f>E52</f>
        <v>86.37743131999923</v>
      </c>
      <c r="G52" s="15">
        <f>F52</f>
        <v>86.37743131999923</v>
      </c>
      <c r="H52" s="15">
        <f>G52</f>
        <v>86.37743131999923</v>
      </c>
    </row>
    <row r="53" ht="20" customHeight="1">
      <c r="A53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3" s="19"/>
      <c r="C53" s="24">
        <f>C39+C47+C51</f>
        <v>168838.10251479002</v>
      </c>
      <c r="D53" s="24">
        <f>D39+D47+D51</f>
        <v>159285.6393200495</v>
      </c>
      <c r="E53" s="24">
        <f>E39+E47+E51</f>
        <v>157244.59169032378</v>
      </c>
      <c r="F53" s="24">
        <f>F39+F47+F51</f>
        <v>160582.47065059262</v>
      </c>
      <c r="G53" s="24">
        <f>G39+G47+G51</f>
        <v>165426.14133701698</v>
      </c>
      <c r="H53" s="24">
        <f>H39+H47+H51</f>
        <v>170415.97082705304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54" s="12"/>
      <c r="C54" s="12"/>
      <c r="D54" s="14">
        <f>D53/C53-1</f>
        <v>-0.056577650734399465</v>
      </c>
      <c r="E54" s="14">
        <f>E53/D53-1</f>
        <v>-0.012813757966119388</v>
      </c>
      <c r="F54" s="14">
        <f>F53/E53-1</f>
        <v>0.021227305336150692</v>
      </c>
      <c r="G54" s="14">
        <f>G53/F53-1</f>
        <v>0.03016313466096543</v>
      </c>
      <c r="H54" s="14">
        <f>H53/G53-1</f>
        <v>0.030163488368325497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55" s="12"/>
      <c r="C55" s="15">
        <f>C42+C50+C52</f>
        <v>14892.27757091</v>
      </c>
      <c r="D55" s="15">
        <f>D42+D50+D52</f>
        <v>14982.7442207392</v>
      </c>
      <c r="E55" s="15">
        <f>E42+E50+E52</f>
        <v>14917.107328665297</v>
      </c>
      <c r="F55" s="15">
        <f>F42+F50+F52</f>
        <v>15265.955332923188</v>
      </c>
      <c r="G55" s="15">
        <f>G42+G50+G52</f>
        <v>15723.302577381588</v>
      </c>
      <c r="H55" s="15">
        <f>H42+H50+H52</f>
        <v>16194.429428377549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56" s="19"/>
      <c r="C56" s="40">
        <f>1-C55/C53</f>
        <v>0.9117955168348006</v>
      </c>
      <c r="D56" s="40">
        <f>1-D55/D53</f>
        <v>0.9059378843899752</v>
      </c>
      <c r="E56" s="40">
        <f>1-E55/E53</f>
        <v>0.9051343695302225</v>
      </c>
      <c r="F56" s="40">
        <f>1-F55/F53</f>
        <v>0.9049338618899444</v>
      </c>
      <c r="G56" s="40">
        <f>1-G55/G53</f>
        <v>0.9049527332844629</v>
      </c>
      <c r="H56" s="40">
        <f>1-H55/H53</f>
        <v>0.9049711752379564</v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57" s="12"/>
      <c r="C57" s="28">
        <v>0.16201454101560872</v>
      </c>
      <c r="D57" s="28">
        <v>0.16201454101560872</v>
      </c>
      <c r="E57" s="28">
        <v>0.16201454101560872</v>
      </c>
      <c r="F57" s="28">
        <v>0.16201454101560872</v>
      </c>
      <c r="G57" s="28">
        <v>0.16201454101560872</v>
      </c>
      <c r="H57" s="28">
        <v>0.16201454101560872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58" s="12"/>
      <c r="C58" s="28">
        <v>0.04296127173097437</v>
      </c>
      <c r="D58" s="28">
        <v>0.048</v>
      </c>
      <c r="E58" s="28">
        <v>0.048</v>
      </c>
      <c r="F58" s="28">
        <v>0.047</v>
      </c>
      <c r="G58" s="28">
        <v>0.047</v>
      </c>
      <c r="H58" s="28">
        <v>0.047</v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59" s="12"/>
      <c r="C59" s="28">
        <v>0.04927834141544662</v>
      </c>
      <c r="D59" s="28">
        <v>0.04927834141544662</v>
      </c>
      <c r="E59" s="28">
        <v>0.04927834141544662</v>
      </c>
      <c r="F59" s="28">
        <v>0.04927834141544662</v>
      </c>
      <c r="G59" s="28">
        <v>0.04927834141544662</v>
      </c>
      <c r="H59" s="28">
        <v>0.04927834141544662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60" s="12"/>
      <c r="C60" s="28">
        <v>0.0011260032169773193</v>
      </c>
      <c r="D60" s="28">
        <v>0.0011260032169773193</v>
      </c>
      <c r="E60" s="28">
        <v>0.0011260032169773193</v>
      </c>
      <c r="F60" s="28">
        <v>0.0011260032169773193</v>
      </c>
      <c r="G60" s="28">
        <v>0.0011260032169773193</v>
      </c>
      <c r="H60" s="28">
        <v>0.0011260032169773193</v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61" s="12"/>
      <c r="C61" s="28">
        <v>-0.0309072757372576</v>
      </c>
      <c r="D61" s="28">
        <v>-0.0309072757372576</v>
      </c>
      <c r="E61" s="28">
        <v>-0.0309072757372576</v>
      </c>
      <c r="F61" s="28">
        <v>-0.0309072757372576</v>
      </c>
      <c r="G61" s="28">
        <v>-0.0309072757372576</v>
      </c>
      <c r="H61" s="28">
        <v>-0.0309072757372576</v>
      </c>
    </row>
    <row r="62" ht="20" customHeight="1">
      <c r="A62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62" s="19"/>
      <c r="C62" s="29">
        <f>SUM(C57:C61)</f>
        <v>0.22447288164174944</v>
      </c>
      <c r="D62" s="29">
        <f>SUM(D57:D61)</f>
        <v>0.22951160991077507</v>
      </c>
      <c r="E62" s="29">
        <f>SUM(E57:E61)</f>
        <v>0.22951160991077507</v>
      </c>
      <c r="F62" s="29">
        <f>SUM(F57:F61)</f>
        <v>0.22851160991077507</v>
      </c>
      <c r="G62" s="29">
        <f>SUM(G57:G61)</f>
        <v>0.22851160991077507</v>
      </c>
      <c r="H62" s="29">
        <f>SUM(H57:H61)</f>
        <v>0.22851160991077507</v>
      </c>
    </row>
    <row r="63" ht="20" customHeight="1">
      <c r="A63" s="31" t="inlineStr">
        <is>
          <r>
            <rPr>
              <b/>
              <sz val="12"/>
              <rFont val="KaiTi"/>
              <family val="2"/>
            </rPr>
            <t xml:space="preserve">乐观情景</t>
          </r>
        </is>
      </c>
      <c r="B63" s="31"/>
      <c r="C63" s="31"/>
      <c r="D63" s="31"/>
      <c r="E63" s="31"/>
      <c r="F63" s="31"/>
      <c r="G63" s="31"/>
      <c r="H63" s="31"/>
    </row>
    <row r="64" ht="20" customHeight="1">
      <c r="A64" s="12" t="inlineStr">
        <is>
          <r>
            <rPr>
              <sz val="12"/>
              <rFont val="KaiTi"/>
              <family val="2"/>
            </rPr>
            <t xml:space="preserve">茅台酒：销量增速</t>
          </r>
        </is>
      </c>
      <c r="B64" s="12"/>
      <c r="C64" s="12"/>
      <c r="D64" s="30">
        <v>0.04</v>
      </c>
      <c r="E64" s="30">
        <v>0.04</v>
      </c>
      <c r="F64" s="30">
        <v>0.03</v>
      </c>
      <c r="G64" s="30">
        <v>0.03</v>
      </c>
      <c r="H64" s="30">
        <v>0.03</v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茅台酒：销量（吨）</t>
          </r>
        </is>
      </c>
      <c r="B65" s="12"/>
      <c r="C65" s="37">
        <v>46750.66</v>
      </c>
      <c r="D65" s="38">
        <f>C65*(1+D64)</f>
        <v>48620.686400000006</v>
      </c>
      <c r="E65" s="38">
        <f>D65*(1+E64)</f>
        <v>50565.513856000005</v>
      </c>
      <c r="F65" s="38">
        <f>E65*(1+F64)</f>
        <v>52082.47927168001</v>
      </c>
      <c r="G65" s="38">
        <f>F65*(1+G64)</f>
        <v>53644.95364983041</v>
      </c>
      <c r="H65" s="38">
        <f>G65*(1+H64)</f>
        <v>55254.30225932532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茅台酒：吨价增速</t>
          </r>
        </is>
      </c>
      <c r="B66" s="12"/>
      <c r="C66" s="12"/>
      <c r="D66" s="30">
        <v>0.02</v>
      </c>
      <c r="E66" s="30">
        <v>0.03</v>
      </c>
      <c r="F66" s="30">
        <v>0.03</v>
      </c>
      <c r="G66" s="30">
        <v>0.02</v>
      </c>
      <c r="H66" s="30">
        <v>0.02</v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茅台酒：吨价（万元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67" s="12"/>
      <c r="C67" s="16">
        <f>C68*100/C65</f>
        <v>313.364359948052</v>
      </c>
      <c r="D67" s="16">
        <f>C67*(1+D66)</f>
        <v>319.6316471470131</v>
      </c>
      <c r="E67" s="16">
        <f>D67*(1+E66)</f>
        <v>329.2205965614235</v>
      </c>
      <c r="F67" s="16">
        <f>E67*(1+F66)</f>
        <v>339.09721445826625</v>
      </c>
      <c r="G67" s="16">
        <f>F67*(1+G66)</f>
        <v>345.8791587474316</v>
      </c>
      <c r="H67" s="16">
        <f>G67*(1+H66)</f>
        <v>352.7967419223802</v>
      </c>
    </row>
    <row r="68" ht="20" customHeight="1">
      <c r="A68" s="19" t="inlineStr">
        <is>
          <r>
            <rPr>
              <b/>
              <sz val="12"/>
              <rFont val="KaiTi"/>
              <family val="2"/>
            </rPr>
            <t xml:space="preserve">茅台酒：收入</t>
          </r>
        </is>
      </c>
      <c r="B68" s="19"/>
      <c r="C68" s="20">
        <v>146499.90648049</v>
      </c>
      <c r="D68" s="24">
        <f>D65*D67/100</f>
        <v>155407.1007945038</v>
      </c>
      <c r="E68" s="24">
        <f>E65*E67/100</f>
        <v>166472.08637107248</v>
      </c>
      <c r="F68" s="24">
        <f>F65*F67/100</f>
        <v>176610.23643107084</v>
      </c>
      <c r="G68" s="24">
        <f>G65*G67/100</f>
        <v>185546.71439448302</v>
      </c>
      <c r="H68" s="24">
        <f>H65*H67/100</f>
        <v>194935.37814284384</v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茅台酒：毛利率变动（百分点）</t>
          </r>
        </is>
      </c>
      <c r="B69" s="12"/>
      <c r="C69" s="12"/>
      <c r="D69" s="39">
        <v>0.2</v>
      </c>
      <c r="E69" s="39">
        <v>0.0</v>
      </c>
      <c r="F69" s="39">
        <v>0.0</v>
      </c>
      <c r="G69" s="39">
        <v>0.0</v>
      </c>
      <c r="H69" s="39">
        <v>0.0</v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茅台酒：毛利率</t>
          </r>
        </is>
      </c>
      <c r="B70" s="12"/>
      <c r="C70" s="14">
        <f>1-C71/C68</f>
        <v>0.9352575844353653</v>
      </c>
      <c r="D70" s="14">
        <f>C70+D69/100</f>
        <v>0.9372575844353653</v>
      </c>
      <c r="E70" s="14">
        <f>D70+E69/100</f>
        <v>0.9372575844353653</v>
      </c>
      <c r="F70" s="14">
        <f>E70+F69/100</f>
        <v>0.9372575844353653</v>
      </c>
      <c r="G70" s="14">
        <f>F70+G69/100</f>
        <v>0.9372575844353653</v>
      </c>
      <c r="H70" s="14">
        <f>G70+H69/100</f>
        <v>0.9372575844353653</v>
      </c>
    </row>
    <row r="71" ht="20" customHeight="1">
      <c r="A71" s="12" t="inlineStr">
        <is>
          <r>
            <rPr>
              <sz val="12"/>
              <rFont val="KaiTi"/>
              <family val="2"/>
            </rPr>
            <t xml:space="preserve">茅台酒：营业成本</t>
          </r>
        </is>
      </c>
      <c r="B71" s="12"/>
      <c r="C71" s="22">
        <v>9484.75782554</v>
      </c>
      <c r="D71" s="15">
        <f>D68*(1-D70)</f>
        <v>9750.616899743825</v>
      </c>
      <c r="E71" s="15">
        <f>E68*(1-E70)</f>
        <v>10444.860823005585</v>
      </c>
      <c r="F71" s="15">
        <f>F68*(1-F70)</f>
        <v>11080.952847126628</v>
      </c>
      <c r="G71" s="15">
        <f>G68*(1-G70)</f>
        <v>11641.649061191234</v>
      </c>
      <c r="H71" s="15">
        <f>H68*(1-H70)</f>
        <v>12230.71650368751</v>
      </c>
    </row>
    <row r="72" ht="20" customHeight="1">
      <c r="A72" s="12" t="inlineStr">
        <is>
          <r>
            <rPr>
              <sz val="12"/>
              <rFont val="KaiTi"/>
              <family val="2"/>
            </rPr>
            <t xml:space="preserve">系列酒：销量增速</t>
          </r>
        </is>
      </c>
      <c r="B72" s="12"/>
      <c r="C72" s="12"/>
      <c r="D72" s="30">
        <v>0.05</v>
      </c>
      <c r="E72" s="30">
        <v>0.08</v>
      </c>
      <c r="F72" s="30">
        <v>0.08</v>
      </c>
      <c r="G72" s="30">
        <v>0.06</v>
      </c>
      <c r="H72" s="30">
        <v>0.05</v>
      </c>
    </row>
    <row r="73" ht="20" customHeight="1">
      <c r="A73" s="12" t="inlineStr">
        <is>
          <r>
            <rPr>
              <sz val="12"/>
              <rFont val="KaiTi"/>
              <family val="2"/>
            </rPr>
            <t xml:space="preserve">系列酒：销量（吨）</t>
          </r>
        </is>
      </c>
      <c r="B73" s="12"/>
      <c r="C73" s="37">
        <v>38353.48</v>
      </c>
      <c r="D73" s="38">
        <f>C73*(1+D72)</f>
        <v>40271.154</v>
      </c>
      <c r="E73" s="38">
        <f>D73*(1+E72)</f>
        <v>43492.846320000004</v>
      </c>
      <c r="F73" s="38">
        <f>E73*(1+F72)</f>
        <v>46972.27402560001</v>
      </c>
      <c r="G73" s="38">
        <f>F73*(1+G72)</f>
        <v>49790.610467136015</v>
      </c>
      <c r="H73" s="38">
        <f>G73*(1+H72)</f>
        <v>52280.140990492815</v>
      </c>
    </row>
    <row r="74" ht="20" customHeight="1">
      <c r="A74" s="12" t="inlineStr">
        <is>
          <r>
            <rPr>
              <sz val="12"/>
              <rFont val="KaiTi"/>
              <family val="2"/>
            </rPr>
            <t xml:space="preserve">系列酒：吨价增速</t>
          </r>
        </is>
      </c>
      <c r="B74" s="12"/>
      <c r="C74" s="12"/>
      <c r="D74" s="30">
        <v>-0.03</v>
      </c>
      <c r="E74" s="30">
        <v>0.0</v>
      </c>
      <c r="F74" s="30">
        <v>0.02</v>
      </c>
      <c r="G74" s="30">
        <v>0.02</v>
      </c>
      <c r="H74" s="30">
        <v>0.02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系列酒：吨价（万元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吨）</t>
          </r>
        </is>
      </c>
      <c r="B75" s="12"/>
      <c r="C75" s="16">
        <f>C76*100/C73</f>
        <v>58.077334070233</v>
      </c>
      <c r="D75" s="16">
        <f>C75*(1+D74)</f>
        <v>56.335014048126006</v>
      </c>
      <c r="E75" s="16">
        <f>D75*(1+E74)</f>
        <v>56.335014048126006</v>
      </c>
      <c r="F75" s="16">
        <f>E75*(1+F74)</f>
        <v>57.46171432908853</v>
      </c>
      <c r="G75" s="16">
        <f>F75*(1+G74)</f>
        <v>58.6109486156703</v>
      </c>
      <c r="H75" s="16">
        <f>G75*(1+H74)</f>
        <v>59.78316758798371</v>
      </c>
    </row>
    <row r="76" ht="20" customHeight="1">
      <c r="A76" s="19" t="inlineStr">
        <is>
          <r>
            <rPr>
              <b/>
              <sz val="12"/>
              <rFont val="KaiTi"/>
              <family val="2"/>
            </rPr>
            <t xml:space="preserve">系列酒：收入</t>
          </r>
        </is>
      </c>
      <c r="B76" s="19"/>
      <c r="C76" s="20">
        <v>22274.67870716</v>
      </c>
      <c r="D76" s="24">
        <f>D73*D75/100</f>
        <v>22686.76026324246</v>
      </c>
      <c r="E76" s="24">
        <f>E73*E75/100</f>
        <v>24501.701084301858</v>
      </c>
      <c r="F76" s="24">
        <f>F73*F75/100</f>
        <v>26991.073914466928</v>
      </c>
      <c r="G76" s="24">
        <f>G73*G75/100</f>
        <v>29182.749116321647</v>
      </c>
      <c r="H76" s="24">
        <f>H73*H75/100</f>
        <v>31254.724303580486</v>
      </c>
    </row>
    <row r="77" ht="20" customHeight="1">
      <c r="A77" s="12" t="inlineStr">
        <is>
          <r>
            <rPr>
              <sz val="12"/>
              <rFont val="KaiTi"/>
              <family val="2"/>
            </rPr>
            <t xml:space="preserve">系列酒：毛利率变动（百分点）</t>
          </r>
        </is>
      </c>
      <c r="B77" s="12"/>
      <c r="C77" s="12"/>
      <c r="D77" s="39">
        <v>0.0</v>
      </c>
      <c r="E77" s="39">
        <v>0.5</v>
      </c>
      <c r="F77" s="39">
        <v>0.5</v>
      </c>
      <c r="G77" s="39">
        <v>0.0</v>
      </c>
      <c r="H77" s="39">
        <v>0.0</v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系列酒：毛利率</t>
          </r>
        </is>
      </c>
      <c r="B78" s="12"/>
      <c r="C78" s="14">
        <f>1-C79/C76</f>
        <v>0.7611124998027664</v>
      </c>
      <c r="D78" s="14">
        <f>C78+D77/100</f>
        <v>0.7611124998027664</v>
      </c>
      <c r="E78" s="14">
        <f>D78+E77/100</f>
        <v>0.7661124998027664</v>
      </c>
      <c r="F78" s="14">
        <f>E78+F77/100</f>
        <v>0.7711124998027664</v>
      </c>
      <c r="G78" s="14">
        <f>F78+G77/100</f>
        <v>0.7711124998027664</v>
      </c>
      <c r="H78" s="14">
        <f>G78+H77/100</f>
        <v>0.7711124998027664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系列酒：营业成本</t>
          </r>
        </is>
      </c>
      <c r="B79" s="12"/>
      <c r="C79" s="22">
        <v>5321.14231405</v>
      </c>
      <c r="D79" s="15">
        <f>D76*(1-D78)</f>
        <v>5419.583446859924</v>
      </c>
      <c r="E79" s="15">
        <f>E76*(1-E78)</f>
        <v>5730.641617187209</v>
      </c>
      <c r="F79" s="15">
        <f>F76*(1-F78)</f>
        <v>6177.919435921095</v>
      </c>
      <c r="G79" s="15">
        <f>G76*(1-G78)</f>
        <v>6679.566494117889</v>
      </c>
      <c r="H79" s="15">
        <f>H76*(1-H78)</f>
        <v>7153.81571520026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其他业务收入（保持不变）</t>
          </r>
        </is>
      </c>
      <c r="B80" s="12"/>
      <c r="C80" s="22">
        <v>63.51732714002719</v>
      </c>
      <c r="D80" s="15">
        <f>C80</f>
        <v>63.51732714002719</v>
      </c>
      <c r="E80" s="15">
        <f>D80</f>
        <v>63.51732714002719</v>
      </c>
      <c r="F80" s="15">
        <f>E80</f>
        <v>63.51732714002719</v>
      </c>
      <c r="G80" s="15">
        <f>F80</f>
        <v>63.51732714002719</v>
      </c>
      <c r="H80" s="15">
        <f>G80</f>
        <v>63.51732714002719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其他业务成本（保持不变）</t>
          </r>
        </is>
      </c>
      <c r="B81" s="12"/>
      <c r="C81" s="22">
        <v>86.37743131999923</v>
      </c>
      <c r="D81" s="15">
        <f>C81</f>
        <v>86.37743131999923</v>
      </c>
      <c r="E81" s="15">
        <f>D81</f>
        <v>86.37743131999923</v>
      </c>
      <c r="F81" s="15">
        <f>E81</f>
        <v>86.37743131999923</v>
      </c>
      <c r="G81" s="15">
        <f>F81</f>
        <v>86.37743131999923</v>
      </c>
      <c r="H81" s="15">
        <f>G81</f>
        <v>86.37743131999923</v>
      </c>
    </row>
    <row r="82" ht="20" customHeight="1">
      <c r="A82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82" s="19"/>
      <c r="C82" s="24">
        <f>C68+C76+C80</f>
        <v>168838.10251479002</v>
      </c>
      <c r="D82" s="24">
        <f>D68+D76+D80</f>
        <v>178157.3783848863</v>
      </c>
      <c r="E82" s="24">
        <f>E68+E76+E80</f>
        <v>191037.30478251437</v>
      </c>
      <c r="F82" s="24">
        <f>F68+F76+F80</f>
        <v>203664.82767267778</v>
      </c>
      <c r="G82" s="24">
        <f>G68+G76+G80</f>
        <v>214792.9808379447</v>
      </c>
      <c r="H82" s="24">
        <f>H68+H76+H80</f>
        <v>226253.61977356434</v>
      </c>
    </row>
    <row r="83" ht="20" customHeight="1">
      <c r="A83" s="12" t="inlineStr">
        <is>
          <r>
            <rPr>
              <sz val="12"/>
              <rFont val="KaiTi"/>
              <family val="2"/>
            </rPr>
            <t xml:space="preserve">营业收入增速</t>
          </r>
        </is>
      </c>
      <c r="B83" s="12"/>
      <c r="C83" s="12"/>
      <c r="D83" s="14">
        <f>D82/C82-1</f>
        <v>0.055196520994305276</v>
      </c>
      <c r="E83" s="14">
        <f>E82/D82-1</f>
        <v>0.07229521737686673</v>
      </c>
      <c r="F83" s="14">
        <f>F82/E82-1</f>
        <v>0.06609977514359922</v>
      </c>
      <c r="G83" s="14">
        <f>G82/F82-1</f>
        <v>0.05463954327524645</v>
      </c>
      <c r="H83" s="14">
        <f>H82/G82-1</f>
        <v>0.053356673439279634</v>
      </c>
    </row>
    <row r="84" ht="20" customHeight="1">
      <c r="A84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84" s="12"/>
      <c r="C84" s="15">
        <f>C71+C79+C81</f>
        <v>14892.27757091</v>
      </c>
      <c r="D84" s="15">
        <f>D71+D79+D81</f>
        <v>15256.57777792374</v>
      </c>
      <c r="E84" s="15">
        <f>E71+E79+E81</f>
        <v>16261.879871512783</v>
      </c>
      <c r="F84" s="15">
        <f>F71+F79+F81</f>
        <v>17345.24971436772</v>
      </c>
      <c r="G84" s="15">
        <f>G71+G79+G81</f>
        <v>18407.592986629108</v>
      </c>
      <c r="H84" s="15">
        <f>H71+H79+H81</f>
        <v>19470.90965020776</v>
      </c>
    </row>
    <row r="85" ht="20" customHeight="1">
      <c r="A85" s="19" t="inlineStr">
        <is>
          <r>
            <rPr>
              <b/>
              <sz val="12"/>
              <rFont val="KaiTi"/>
              <family val="2"/>
            </rPr>
            <t xml:space="preserve">综合毛利率</t>
          </r>
        </is>
      </c>
      <c r="B85" s="19"/>
      <c r="C85" s="40">
        <f>1-C84/C82</f>
        <v>0.9117955168348006</v>
      </c>
      <c r="D85" s="40">
        <f>1-D84/D82</f>
        <v>0.914364603272485</v>
      </c>
      <c r="E85" s="40">
        <f>1-E84/E82</f>
        <v>0.9148758935328047</v>
      </c>
      <c r="F85" s="40">
        <f>1-F84/F82</f>
        <v>0.9148343387880192</v>
      </c>
      <c r="G85" s="40">
        <f>1-G84/G82</f>
        <v>0.9143007703751869</v>
      </c>
      <c r="H85" s="40">
        <f>1-H84/H82</f>
        <v>0.9139421076679598</v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　税金及附加率</t>
          </r>
        </is>
      </c>
      <c r="B86" s="12"/>
      <c r="C86" s="28">
        <v>0.16201454101560872</v>
      </c>
      <c r="D86" s="28">
        <v>0.16201454101560872</v>
      </c>
      <c r="E86" s="28">
        <v>0.16201454101560872</v>
      </c>
      <c r="F86" s="28">
        <v>0.16201454101560872</v>
      </c>
      <c r="G86" s="28">
        <v>0.16201454101560872</v>
      </c>
      <c r="H86" s="28">
        <v>0.16201454101560872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　销售费用率</t>
          </r>
        </is>
      </c>
      <c r="B87" s="12"/>
      <c r="C87" s="28">
        <v>0.04296127173097437</v>
      </c>
      <c r="D87" s="28">
        <v>0.043</v>
      </c>
      <c r="E87" s="28">
        <v>0.042</v>
      </c>
      <c r="F87" s="28">
        <v>0.041</v>
      </c>
      <c r="G87" s="28">
        <v>0.04</v>
      </c>
      <c r="H87" s="28">
        <v>0.04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　管理费用率</t>
          </r>
        </is>
      </c>
      <c r="B88" s="12"/>
      <c r="C88" s="28">
        <v>0.04927834141544662</v>
      </c>
      <c r="D88" s="28">
        <v>0.04927834141544662</v>
      </c>
      <c r="E88" s="28">
        <v>0.04927834141544662</v>
      </c>
      <c r="F88" s="28">
        <v>0.04927834141544662</v>
      </c>
      <c r="G88" s="28">
        <v>0.04927834141544662</v>
      </c>
      <c r="H88" s="28">
        <v>0.04927834141544662</v>
      </c>
    </row>
    <row r="89" ht="20" customHeight="1">
      <c r="A89" s="12" t="inlineStr">
        <is>
          <r>
            <rPr>
              <sz val="12"/>
              <rFont val="KaiTi"/>
              <family val="2"/>
            </rPr>
            <t xml:space="preserve">　研发费用率</t>
          </r>
        </is>
      </c>
      <c r="B89" s="12"/>
      <c r="C89" s="28">
        <v>0.0011260032169773193</v>
      </c>
      <c r="D89" s="28">
        <v>0.0011260032169773193</v>
      </c>
      <c r="E89" s="28">
        <v>0.0011260032169773193</v>
      </c>
      <c r="F89" s="28">
        <v>0.0011260032169773193</v>
      </c>
      <c r="G89" s="28">
        <v>0.0011260032169773193</v>
      </c>
      <c r="H89" s="28">
        <v>0.0011260032169773193</v>
      </c>
    </row>
    <row r="90" ht="20" customHeight="1">
      <c r="A90" s="12" t="inlineStr">
        <is>
          <r>
            <rPr>
              <sz val="12"/>
              <rFont val="KaiTi"/>
              <family val="2"/>
            </rPr>
            <t xml:space="preserve">　其他（基期轧差：财务公司利息、折旧重分类等）</t>
          </r>
        </is>
      </c>
      <c r="B90" s="12"/>
      <c r="C90" s="28">
        <v>-0.0309072757372576</v>
      </c>
      <c r="D90" s="28">
        <v>-0.0309072757372576</v>
      </c>
      <c r="E90" s="28">
        <v>-0.0309072757372576</v>
      </c>
      <c r="F90" s="28">
        <v>-0.0309072757372576</v>
      </c>
      <c r="G90" s="28">
        <v>-0.0309072757372576</v>
      </c>
      <c r="H90" s="28">
        <v>-0.0309072757372576</v>
      </c>
    </row>
    <row r="91" ht="20" customHeight="1">
      <c r="A91" s="19" t="inlineStr">
        <is>
          <r>
            <rPr>
              <b/>
              <sz val="12"/>
              <rFont val="KaiTi"/>
              <family val="2"/>
            </rPr>
            <t xml:space="preserve">经营费用率（不含折旧摊销）</t>
          </r>
        </is>
      </c>
      <c r="B91" s="19"/>
      <c r="C91" s="29">
        <f>SUM(C86:C90)</f>
        <v>0.22447288164174944</v>
      </c>
      <c r="D91" s="29">
        <f>SUM(D86:D90)</f>
        <v>0.22451160991077507</v>
      </c>
      <c r="E91" s="29">
        <f>SUM(E86:E90)</f>
        <v>0.22351160991077507</v>
      </c>
      <c r="F91" s="29">
        <f>SUM(F86:F90)</f>
        <v>0.22251160991077507</v>
      </c>
      <c r="G91" s="29">
        <f>SUM(G86:G90)</f>
        <v>0.22151160991077506</v>
      </c>
      <c r="H91" s="29">
        <f>SUM(H86:H90)</f>
        <v>0.22151160991077506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41">
        <v>2</v>
      </c>
      <c r="C5" s="42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43">
        <f>'分部预测'!D54</f>
        <v>-0.056577650734399465</v>
      </c>
      <c r="E7" s="43">
        <f>'分部预测'!E54</f>
        <v>-0.012813757966119388</v>
      </c>
      <c r="F7" s="43">
        <f>'分部预测'!F54</f>
        <v>0.021227305336150692</v>
      </c>
      <c r="G7" s="43">
        <f>'分部预测'!G54</f>
        <v>0.03016313466096543</v>
      </c>
      <c r="H7" s="43">
        <f>'分部预测'!H54</f>
        <v>0.030163488368325497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43">
        <f>'分部预测'!D25</f>
        <v>0.021835488296867434</v>
      </c>
      <c r="E8" s="43">
        <f>'分部预测'!E25</f>
        <v>0.03887261399699238</v>
      </c>
      <c r="F8" s="43">
        <f>'分部预测'!F25</f>
        <v>0.05180785031175206</v>
      </c>
      <c r="G8" s="43">
        <f>'分部预测'!G25</f>
        <v>0.05181886344723452</v>
      </c>
      <c r="H8" s="43">
        <f>'分部预测'!H25</f>
        <v>0.05182990391237108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43">
        <f>'分部预测'!D83</f>
        <v>0.055196520994305276</v>
      </c>
      <c r="E9" s="43">
        <f>'分部预测'!E83</f>
        <v>0.07229521737686673</v>
      </c>
      <c r="F9" s="43">
        <f>'分部预测'!F83</f>
        <v>0.06609977514359922</v>
      </c>
      <c r="G9" s="43">
        <f>'分部预测'!G83</f>
        <v>0.05463954327524645</v>
      </c>
      <c r="H9" s="43">
        <f>'分部预测'!H83</f>
        <v>0.053356673439279634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40">
        <f>'三表-利润表'!C5/'三表-利润表'!B5-1</f>
        <v>-0.012060035021222992</v>
      </c>
      <c r="D10" s="40">
        <f>CHOOSE($B$5,D7,D8,D9)</f>
        <v>0.021835488296867434</v>
      </c>
      <c r="E10" s="40">
        <f>CHOOSE($B$5,E7,E8,E9)</f>
        <v>0.03887261399699238</v>
      </c>
      <c r="F10" s="40">
        <f>CHOOSE($B$5,F7,F8,F9)</f>
        <v>0.05180785031175206</v>
      </c>
      <c r="G10" s="40">
        <f>CHOOSE($B$5,G7,G8,G9)</f>
        <v>0.05181886344723452</v>
      </c>
      <c r="H10" s="40">
        <f>CHOOSE($B$5,H7,H8,H9)</f>
        <v>0.05182990391237108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43">
        <f>'分部预测'!D56</f>
        <v>0.9059378843899752</v>
      </c>
      <c r="E11" s="43">
        <f>'分部预测'!E56</f>
        <v>0.9051343695302225</v>
      </c>
      <c r="F11" s="43">
        <f>'分部预测'!F56</f>
        <v>0.9049338618899444</v>
      </c>
      <c r="G11" s="43">
        <f>'分部预测'!G56</f>
        <v>0.9049527332844629</v>
      </c>
      <c r="H11" s="43">
        <f>'分部预测'!H56</f>
        <v>0.9049711752379564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43">
        <f>'分部预测'!D27</f>
        <v>0.9117618190882115</v>
      </c>
      <c r="E12" s="43">
        <f>'分部预测'!E27</f>
        <v>0.9119984147200499</v>
      </c>
      <c r="F12" s="43">
        <f>'分部预测'!F27</f>
        <v>0.9122071206272915</v>
      </c>
      <c r="G12" s="43">
        <f>'分部预测'!G27</f>
        <v>0.9124195850282508</v>
      </c>
      <c r="H12" s="43">
        <f>'分部预测'!H27</f>
        <v>0.9122551979239855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43">
        <f>'分部预测'!D85</f>
        <v>0.914364603272485</v>
      </c>
      <c r="E13" s="43">
        <f>'分部预测'!E85</f>
        <v>0.9148758935328047</v>
      </c>
      <c r="F13" s="43">
        <f>'分部预测'!F85</f>
        <v>0.9148343387880192</v>
      </c>
      <c r="G13" s="43">
        <f>'分部预测'!G85</f>
        <v>0.9143007703751869</v>
      </c>
      <c r="H13" s="43">
        <f>'分部预测'!H85</f>
        <v>0.9139421076679598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40">
        <f>1-'三表-利润表'!B6/'三表-利润表'!B5</f>
        <v>0.9193121663606457</v>
      </c>
      <c r="C14" s="40">
        <f>1-'三表-利润表'!C6/'三表-利润表'!C5</f>
        <v>0.9117955168348006</v>
      </c>
      <c r="D14" s="40">
        <f>CHOOSE($B$5,D11,D12,D13)</f>
        <v>0.9117618190882115</v>
      </c>
      <c r="E14" s="40">
        <f>CHOOSE($B$5,E11,E12,E13)</f>
        <v>0.9119984147200499</v>
      </c>
      <c r="F14" s="40">
        <f>CHOOSE($B$5,F11,F12,F13)</f>
        <v>0.9122071206272915</v>
      </c>
      <c r="G14" s="40">
        <f>CHOOSE($B$5,G11,G12,G13)</f>
        <v>0.9124195850282508</v>
      </c>
      <c r="H14" s="40">
        <f>CHOOSE($B$5,H11,H12,H13)</f>
        <v>0.9122551979239855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经营费用率（不含折旧摊销，含税金及附加）：悲观</t>
          </r>
        </is>
      </c>
      <c r="B15" s="12"/>
      <c r="C15" s="12"/>
      <c r="D15" s="43">
        <f>'分部预测'!D62</f>
        <v>0.22951160991077507</v>
      </c>
      <c r="E15" s="43">
        <f>'分部预测'!E62</f>
        <v>0.22951160991077507</v>
      </c>
      <c r="F15" s="43">
        <f>'分部预测'!F62</f>
        <v>0.22851160991077507</v>
      </c>
      <c r="G15" s="43">
        <f>'分部预测'!G62</f>
        <v>0.22851160991077507</v>
      </c>
      <c r="H15" s="43">
        <f>'分部预测'!H62</f>
        <v>0.22851160991077507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经营费用率（不含折旧摊销，含税金及附加）：基准</t>
          </r>
        </is>
      </c>
      <c r="B16" s="12"/>
      <c r="C16" s="12"/>
      <c r="D16" s="43">
        <f>'分部预测'!D33</f>
        <v>0.22651160991077507</v>
      </c>
      <c r="E16" s="43">
        <f>'分部预测'!E33</f>
        <v>0.22651160991077507</v>
      </c>
      <c r="F16" s="43">
        <f>'分部预测'!F33</f>
        <v>0.22551160991077507</v>
      </c>
      <c r="G16" s="43">
        <f>'分部预测'!G33</f>
        <v>0.22451160991077507</v>
      </c>
      <c r="H16" s="43">
        <f>'分部预测'!H33</f>
        <v>0.22451160991077507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　经营费用率（不含折旧摊销，含税金及附加）：乐观</t>
          </r>
        </is>
      </c>
      <c r="B17" s="12"/>
      <c r="C17" s="12"/>
      <c r="D17" s="43">
        <f>'分部预测'!D91</f>
        <v>0.22451160991077507</v>
      </c>
      <c r="E17" s="43">
        <f>'分部预测'!E91</f>
        <v>0.22351160991077507</v>
      </c>
      <c r="F17" s="43">
        <f>'分部预测'!F91</f>
        <v>0.22251160991077507</v>
      </c>
      <c r="G17" s="43">
        <f>'分部预测'!G91</f>
        <v>0.22151160991077506</v>
      </c>
      <c r="H17" s="43">
        <f>'分部预测'!H91</f>
        <v>0.22151160991077506</v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经营费用率（不含折旧摊销，含税金及附加）（选用）</t>
          </r>
        </is>
      </c>
      <c r="B18" s="40">
        <f>'三表-利润表'!B8/'三表-利润表'!B5</f>
        <v>0.2167423697665592</v>
      </c>
      <c r="C18" s="40">
        <f>'三表-利润表'!C8/'三表-利润表'!C5</f>
        <v>0.22447288164174944</v>
      </c>
      <c r="D18" s="40">
        <f>CHOOSE($B$5,D15,D16,D17)</f>
        <v>0.22651160991077507</v>
      </c>
      <c r="E18" s="40">
        <f>CHOOSE($B$5,E15,E16,E17)</f>
        <v>0.22651160991077507</v>
      </c>
      <c r="F18" s="40">
        <f>CHOOSE($B$5,F15,F16,F17)</f>
        <v>0.22551160991077507</v>
      </c>
      <c r="G18" s="40">
        <f>CHOOSE($B$5,G15,G16,G17)</f>
        <v>0.22451160991077507</v>
      </c>
      <c r="H18" s="40">
        <f>CHOOSE($B$5,H15,H16,H17)</f>
        <v>0.22451160991077507</v>
      </c>
      <c r="I18" s="2"/>
      <c r="J18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9" s="14">
        <f>'三表-利润表'!B16/'三表-利润表'!B15</f>
        <v>0.2532949707852952</v>
      </c>
      <c r="C19" s="14">
        <f>'三表-利润表'!C16/'三表-利润表'!C15</f>
        <v>0.25658899086250286</v>
      </c>
      <c r="D19" s="30">
        <v>0.25658899086250286</v>
      </c>
      <c r="E19" s="30">
        <v>0.25658899086250286</v>
      </c>
      <c r="F19" s="30">
        <v>0.25658899086250286</v>
      </c>
      <c r="G19" s="30">
        <v>0.25658899086250286</v>
      </c>
      <c r="H19" s="30">
        <v>0.25658899086250286</v>
      </c>
      <c r="I19" s="2"/>
      <c r="J19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20" s="12"/>
      <c r="C20" s="12"/>
      <c r="D20" s="30">
        <v>0.79</v>
      </c>
      <c r="E20" s="30">
        <v>0.79</v>
      </c>
      <c r="F20" s="30">
        <v>0.79</v>
      </c>
      <c r="G20" s="30">
        <v>0.79</v>
      </c>
      <c r="H20" s="30">
        <v>0.79</v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21" s="31"/>
      <c r="C21" s="31"/>
      <c r="D21" s="31"/>
      <c r="E21" s="31"/>
      <c r="F21" s="31"/>
      <c r="G21" s="31"/>
      <c r="H21" s="31"/>
      <c r="I21" s="31"/>
      <c r="J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22" s="12"/>
      <c r="C22" s="12"/>
      <c r="D22" s="25">
        <v>0.005640330498067399</v>
      </c>
      <c r="E22" s="25">
        <v>0.005640330498067399</v>
      </c>
      <c r="F22" s="25">
        <v>0.005640330498067399</v>
      </c>
      <c r="G22" s="25">
        <v>0.005640330498067399</v>
      </c>
      <c r="H22" s="25">
        <v>0.005640330498067399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3" s="12"/>
      <c r="C23" s="12"/>
      <c r="D23" s="25">
        <v>0.005640330498067399</v>
      </c>
      <c r="E23" s="25">
        <v>0.005640330498067399</v>
      </c>
      <c r="F23" s="25">
        <v>0.005640330498067399</v>
      </c>
      <c r="G23" s="25">
        <v>0.005640330498067399</v>
      </c>
      <c r="H23" s="25">
        <v>0.005640330498067399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4" s="12"/>
      <c r="C24" s="12"/>
      <c r="D24" s="25">
        <v>0.005640330498067399</v>
      </c>
      <c r="E24" s="25">
        <v>0.005640330498067399</v>
      </c>
      <c r="F24" s="25">
        <v>0.005640330498067399</v>
      </c>
      <c r="G24" s="25">
        <v>0.005640330498067399</v>
      </c>
      <c r="H24" s="25">
        <v>0.005640330498067399</v>
      </c>
    </row>
    <row r="25" ht="20" customHeight="1">
      <c r="A25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5" s="44">
        <f>'三表-资产负债表'!B7/'三表-利润表'!B5*365</f>
        <v>0.04052436926399434</v>
      </c>
      <c r="C25" s="44">
        <f>'三表-资产负债表'!C7/'三表-利润表'!C5*365</f>
        <v>0.005640330498067399</v>
      </c>
      <c r="D25" s="44">
        <f>CHOOSE($B$5,D22,D23,D24)</f>
        <v>0.005640330498067399</v>
      </c>
      <c r="E25" s="44">
        <f>CHOOSE($B$5,E22,E23,E24)</f>
        <v>0.005640330498067399</v>
      </c>
      <c r="F25" s="44">
        <f>CHOOSE($B$5,F22,F23,F24)</f>
        <v>0.005640330498067399</v>
      </c>
      <c r="G25" s="44">
        <f>CHOOSE($B$5,G22,G23,G24)</f>
        <v>0.005640330498067399</v>
      </c>
      <c r="H25" s="44">
        <f>CHOOSE($B$5,H22,H23,H24)</f>
        <v>0.005640330498067399</v>
      </c>
      <c r="I25" s="2"/>
      <c r="J25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6" s="15">
        <f>'三表-资产负债表'!B8/'三表-利润表'!B6*365</f>
        <v>1438.4368138818104</v>
      </c>
      <c r="C26" s="15">
        <f>'三表-资产负债表'!C8/'三表-利润表'!C6*365</f>
        <v>1505.546001868917</v>
      </c>
      <c r="D26" s="22">
        <v>1505.546001868917</v>
      </c>
      <c r="E26" s="22">
        <v>1505.546001868917</v>
      </c>
      <c r="F26" s="22">
        <v>1505.546001868917</v>
      </c>
      <c r="G26" s="22">
        <v>1505.546001868917</v>
      </c>
      <c r="H26" s="22">
        <v>1505.546001868917</v>
      </c>
      <c r="I26" s="2"/>
      <c r="J26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7" s="15">
        <f>'三表-资产负债表'!B13/'三表-利润表'!B6*365</f>
        <v>93.03929870799709</v>
      </c>
      <c r="C27" s="15">
        <f>'三表-资产负债表'!C13/'三表-利润表'!C6*365</f>
        <v>98.21652841467773</v>
      </c>
      <c r="D27" s="22">
        <v>98.21652841467773</v>
      </c>
      <c r="E27" s="22">
        <v>98.21652841467773</v>
      </c>
      <c r="F27" s="22">
        <v>98.21652841467773</v>
      </c>
      <c r="G27" s="22">
        <v>98.21652841467773</v>
      </c>
      <c r="H27" s="22">
        <v>98.21652841467773</v>
      </c>
      <c r="I27" s="2"/>
      <c r="J27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8" s="31"/>
      <c r="C28" s="31"/>
      <c r="D28" s="31"/>
      <c r="E28" s="31"/>
      <c r="F28" s="31"/>
      <c r="G28" s="31"/>
      <c r="H28" s="31"/>
      <c r="I28" s="31"/>
      <c r="J28" s="31"/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9" s="12"/>
      <c r="C29" s="12"/>
      <c r="D29" s="30">
        <v>0.025</v>
      </c>
      <c r="E29" s="30">
        <v>0.025</v>
      </c>
      <c r="F29" s="30">
        <v>0.02</v>
      </c>
      <c r="G29" s="30">
        <v>0.02</v>
      </c>
      <c r="H29" s="30">
        <v>0.02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30" s="12"/>
      <c r="C30" s="12"/>
      <c r="D30" s="30">
        <v>0.02</v>
      </c>
      <c r="E30" s="30">
        <v>0.02</v>
      </c>
      <c r="F30" s="30">
        <v>0.02</v>
      </c>
      <c r="G30" s="30">
        <v>0.02</v>
      </c>
      <c r="H30" s="30">
        <v>0.02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31" s="12"/>
      <c r="C31" s="12"/>
      <c r="D31" s="30">
        <v>0.02</v>
      </c>
      <c r="E31" s="30">
        <v>0.02</v>
      </c>
      <c r="F31" s="30">
        <v>0.02</v>
      </c>
      <c r="G31" s="30">
        <v>0.02</v>
      </c>
      <c r="H31" s="30">
        <v>0.02</v>
      </c>
    </row>
    <row r="32" ht="20" customHeight="1">
      <c r="A32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32" s="40">
        <f>-'三表-现金流量表'!B12/'三表-利润表'!B5</f>
        <v>0.027377034884261044</v>
      </c>
      <c r="C32" s="40">
        <f>-'三表-现金流量表'!C12/'三表-利润表'!C5</f>
        <v>0.018524224507533934</v>
      </c>
      <c r="D32" s="40">
        <f>CHOOSE($B$5,D29,D30,D31)</f>
        <v>0.02</v>
      </c>
      <c r="E32" s="40">
        <f>CHOOSE($B$5,E29,E30,E31)</f>
        <v>0.02</v>
      </c>
      <c r="F32" s="40">
        <f>CHOOSE($B$5,F29,F30,F31)</f>
        <v>0.02</v>
      </c>
      <c r="G32" s="40">
        <f>CHOOSE($B$5,G29,G30,G31)</f>
        <v>0.02</v>
      </c>
      <c r="H32" s="40">
        <f>CHOOSE($B$5,H29,H30,H31)</f>
        <v>0.02</v>
      </c>
      <c r="I32" s="2"/>
      <c r="J3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3" s="12"/>
      <c r="C33" s="14">
        <f>'三表-利润表'!C10/('三表-资产负债表'!B9-0.5*'三表-现金流量表'!C12)</f>
        <v>0.0853220084636984</v>
      </c>
      <c r="D33" s="30">
        <v>0.0853220084636984</v>
      </c>
      <c r="E33" s="30">
        <v>0.0853220084636984</v>
      </c>
      <c r="F33" s="30">
        <v>0.0853220084636984</v>
      </c>
      <c r="G33" s="30">
        <v>0.0853220084636984</v>
      </c>
      <c r="H33" s="30">
        <v>0.0853220084636984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4" s="12"/>
      <c r="C34" s="14">
        <f>'三表-利润表'!C12/AVERAGE('三表-资产负债表'!B14,'三表-资产负债表'!C14)</f>
        <v>-2.472040517094769</v>
      </c>
      <c r="D34" s="30">
        <v>-2.472040517094769</v>
      </c>
      <c r="E34" s="30">
        <v>-2.472040517094769</v>
      </c>
      <c r="F34" s="30">
        <v>-2.472040517094769</v>
      </c>
      <c r="G34" s="30">
        <v>-2.472040517094769</v>
      </c>
      <c r="H34" s="30">
        <v>-2.472040517094769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5" s="12"/>
      <c r="C35" s="12"/>
      <c r="D35" s="22">
        <v>0.0</v>
      </c>
      <c r="E35" s="22">
        <v>0.0</v>
      </c>
      <c r="F35" s="22">
        <v>0.0</v>
      </c>
      <c r="G35" s="22">
        <v>0.0</v>
      </c>
      <c r="H35" s="22">
        <v>0.0</v>
      </c>
    </row>
    <row r="36" ht="20" customHeight="1">
      <c r="A36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6" s="31"/>
      <c r="C36" s="31"/>
      <c r="D36" s="31"/>
      <c r="E36" s="31"/>
      <c r="F36" s="31"/>
      <c r="G36" s="31"/>
      <c r="H36" s="31"/>
      <c r="I36" s="31"/>
      <c r="J36" s="31"/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7" s="12"/>
      <c r="C37" s="12"/>
      <c r="D37" s="28">
        <v>0.02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8" s="12"/>
      <c r="C38" s="12"/>
      <c r="D38" s="28">
        <v>0.025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9" s="12"/>
      <c r="C39" s="12"/>
      <c r="D39" s="28">
        <v>0.03</v>
      </c>
    </row>
    <row r="40" ht="20" customHeight="1">
      <c r="A40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40" s="19"/>
      <c r="C40" s="19"/>
      <c r="D40" s="29">
        <f>CHOOSE($B$5,D37,D38,D39)</f>
        <v>0.025</v>
      </c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41" s="12"/>
      <c r="C41" s="12"/>
      <c r="D41" s="28">
        <v>0.005</v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42" s="12"/>
      <c r="C42" s="12"/>
      <c r="D42" s="28">
        <v>0.0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3" s="12"/>
      <c r="C43" s="12"/>
      <c r="D43" s="28">
        <v>-0.0025</v>
      </c>
    </row>
    <row r="44" ht="20" customHeight="1">
      <c r="A44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4" s="19"/>
      <c r="C44" s="19"/>
      <c r="D44" s="29">
        <f>CHOOSE($B$5,D41,D42,D43)</f>
        <v>0.0</v>
      </c>
    </row>
    <row r="45" ht="20" customHeight="1">
      <c r="A45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5" s="31"/>
      <c r="C45" s="31"/>
      <c r="D45" s="31"/>
      <c r="E45" s="31"/>
      <c r="F45" s="31"/>
      <c r="G45" s="31"/>
      <c r="H45" s="31"/>
      <c r="I45" s="31"/>
      <c r="J45" s="31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6" s="23">
        <f>'三表-资产负债表'!B7</f>
        <v>18.97419275</v>
      </c>
      <c r="C46" s="23">
        <f>'三表-资产负债表'!C7</f>
        <v>2.60904849</v>
      </c>
      <c r="D46" s="15">
        <f>'三表-利润表'!D5*D25/365</f>
        <v>2.666018337769355</v>
      </c>
      <c r="E46" s="15">
        <f>'三表-利润表'!E5*E25/365</f>
        <v>2.7696534395223664</v>
      </c>
      <c r="F46" s="15">
        <f>'三表-利润表'!F5*F25/365</f>
        <v>2.91314323033257</v>
      </c>
      <c r="G46" s="15">
        <f>'三表-利润表'!G5*G25/365</f>
        <v>3.0640990015874103</v>
      </c>
      <c r="H46" s="15">
        <f>'三表-利润表'!H5*H25/365</f>
        <v>3.2229109584176774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7" s="23">
        <f>'三表-资产负债表'!B8</f>
        <v>54343.28515747</v>
      </c>
      <c r="C47" s="23">
        <f>'三表-资产负债表'!C8</f>
        <v>61427.42179618</v>
      </c>
      <c r="D47" s="15">
        <f>'三表-利润表'!D6*D26/365</f>
        <v>62792.69978285166</v>
      </c>
      <c r="E47" s="15">
        <f>'三表-利润表'!E6*E26/365</f>
        <v>65058.70334811838</v>
      </c>
      <c r="F47" s="15">
        <f>'三表-利润表'!F6*F26/365</f>
        <v>68266.96704382822</v>
      </c>
      <c r="G47" s="15">
        <f>'三表-利润表'!G6*G26/365</f>
        <v>71630.71222946039</v>
      </c>
      <c r="H47" s="15">
        <f>'三表-利润表'!H6*H26/365</f>
        <v>75484.74343466035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8" s="23">
        <f>'三表-资产负债表'!B13</f>
        <v>3514.96923031</v>
      </c>
      <c r="C48" s="23">
        <f>'三表-资产负债表'!C13</f>
        <v>4007.30904987</v>
      </c>
      <c r="D48" s="15">
        <f>'三表-利润表'!D6*D27/365</f>
        <v>4096.374986085442</v>
      </c>
      <c r="E48" s="15">
        <f>'三表-利润表'!E6*E27/365</f>
        <v>4244.201092547487</v>
      </c>
      <c r="F48" s="15">
        <f>'三表-利润表'!F6*F27/365</f>
        <v>4453.496937403976</v>
      </c>
      <c r="G48" s="15">
        <f>'三表-利润表'!G6*G27/365</f>
        <v>4672.93584806779</v>
      </c>
      <c r="H48" s="15">
        <f>'三表-利润表'!H6*H27/365</f>
        <v>4924.359295047615</v>
      </c>
    </row>
    <row r="49" ht="20" customHeight="1">
      <c r="A49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9" s="24">
        <f>B46+B47-B48</f>
        <v>50847.29011991</v>
      </c>
      <c r="C49" s="24">
        <f>C46+C47-C48</f>
        <v>57422.7217948</v>
      </c>
      <c r="D49" s="24">
        <f>D46+D47-D48</f>
        <v>58698.990815103985</v>
      </c>
      <c r="E49" s="24">
        <f>E46+E47-E48</f>
        <v>60817.271909010415</v>
      </c>
      <c r="F49" s="24">
        <f>F46+F47-F48</f>
        <v>63816.383249654566</v>
      </c>
      <c r="G49" s="24">
        <f>G46+G47-G48</f>
        <v>66960.84048039418</v>
      </c>
      <c r="H49" s="24">
        <f>H46+H47-H48</f>
        <v>70563.60705057115</v>
      </c>
      <c r="I49" s="2"/>
      <c r="J49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50" s="12"/>
      <c r="C50" s="15">
        <f>C49-B49</f>
        <v>6575.431674890002</v>
      </c>
      <c r="D50" s="15">
        <f>D49-C49</f>
        <v>1276.269020303982</v>
      </c>
      <c r="E50" s="15">
        <f>E49-D49</f>
        <v>2118.2810939064293</v>
      </c>
      <c r="F50" s="15">
        <f>F49-E49</f>
        <v>2999.111340644151</v>
      </c>
      <c r="G50" s="15">
        <f>G49-F49</f>
        <v>3144.4572307396156</v>
      </c>
      <c r="H50" s="15">
        <f>H49-G49</f>
        <v>3602.766570176973</v>
      </c>
    </row>
    <row r="51" ht="20" customHeight="1">
      <c r="A51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51" s="31"/>
      <c r="C51" s="31"/>
      <c r="D51" s="31"/>
      <c r="E51" s="31"/>
      <c r="F51" s="31"/>
      <c r="G51" s="31"/>
      <c r="H51" s="31"/>
      <c r="I51" s="31"/>
      <c r="J51" s="31"/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2" s="12"/>
      <c r="C52" s="12"/>
      <c r="D52" s="23">
        <f>'三表-资产负债表'!C9</f>
        <v>24960.00833493</v>
      </c>
      <c r="E52" s="15">
        <f>D55</f>
        <v>26133.663996517054</v>
      </c>
      <c r="F52" s="15">
        <f>E55</f>
        <v>27335.588660886762</v>
      </c>
      <c r="G52" s="15">
        <f>F55</f>
        <v>28612.751769506467</v>
      </c>
      <c r="H52" s="15">
        <f>G55</f>
        <v>29967.984448564846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3" s="12"/>
      <c r="C53" s="12"/>
      <c r="D53" s="15">
        <f>'三表-利润表'!D5*D32</f>
        <v>3450.495298526341</v>
      </c>
      <c r="E53" s="15">
        <f>'三表-利润表'!E5*E32</f>
        <v>3584.6250703643923</v>
      </c>
      <c r="F53" s="15">
        <f>'三表-利润表'!F5*F32</f>
        <v>3770.3367894335843</v>
      </c>
      <c r="G53" s="15">
        <f>'三表-利润表'!G5*G32</f>
        <v>3965.7113566753283</v>
      </c>
      <c r="H53" s="15">
        <f>'三表-利润表'!H5*H32</f>
        <v>4171.253795236009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4" s="12"/>
      <c r="C54" s="12"/>
      <c r="D54" s="15">
        <f>(D52+0.5*D53)*D33</f>
        <v>2276.8396369392885</v>
      </c>
      <c r="E54" s="15">
        <f>(E52+0.5*E53)*E33</f>
        <v>2382.700405994686</v>
      </c>
      <c r="F54" s="15">
        <f>(F52+0.5*F53)*F33</f>
        <v>2493.173680813881</v>
      </c>
      <c r="G54" s="15">
        <f>(G52+0.5*G53)*G33</f>
        <v>2610.478677616951</v>
      </c>
      <c r="H54" s="15">
        <f>(H52+0.5*H53)*H33</f>
        <v>2734.8784985711122</v>
      </c>
    </row>
    <row r="55" ht="20" customHeight="1">
      <c r="A55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5" s="21">
        <f>'三表-资产负债表'!B9</f>
        <v>24021.06668419</v>
      </c>
      <c r="C55" s="21">
        <f>'三表-资产负债表'!C9</f>
        <v>24960.00833493</v>
      </c>
      <c r="D55" s="24">
        <f>MAX(0,D52+D53-D54)</f>
        <v>26133.663996517054</v>
      </c>
      <c r="E55" s="24">
        <f>MAX(0,E52+E53-E54)</f>
        <v>27335.588660886762</v>
      </c>
      <c r="F55" s="24">
        <f>MAX(0,F52+F53-F54)</f>
        <v>28612.751769506467</v>
      </c>
      <c r="G55" s="24">
        <f>MAX(0,G52+G53-G54)</f>
        <v>29967.984448564846</v>
      </c>
      <c r="H55" s="24">
        <f>MAX(0,H52+H53-H54)</f>
        <v>31404.359745229744</v>
      </c>
      <c r="I55" s="2"/>
      <c r="J55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6" ht="20" customHeight="1">
      <c r="A56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6" s="31"/>
      <c r="C56" s="31"/>
      <c r="D56" s="31"/>
      <c r="E56" s="31"/>
      <c r="F56" s="31"/>
      <c r="G56" s="31"/>
      <c r="H56" s="31"/>
      <c r="I56" s="31"/>
      <c r="J56" s="31"/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7" s="12"/>
      <c r="C57" s="12"/>
      <c r="D57" s="23">
        <f>'三表-资产负债表'!C14</f>
        <v>233.71117982</v>
      </c>
      <c r="E57" s="15">
        <f>D59</f>
        <v>233.71117982</v>
      </c>
      <c r="F57" s="15">
        <f>E59</f>
        <v>233.71117982</v>
      </c>
      <c r="G57" s="15">
        <f>F59</f>
        <v>233.71117982</v>
      </c>
      <c r="H57" s="15">
        <f>G59</f>
        <v>233.71117982</v>
      </c>
    </row>
    <row r="58" ht="20" customHeight="1">
      <c r="A58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8" s="12"/>
      <c r="C58" s="12"/>
      <c r="D58" s="15">
        <f>MIN(MAX(0,D35),D57)</f>
        <v>0.0</v>
      </c>
      <c r="E58" s="15">
        <f>MIN(MAX(0,E35),E57)</f>
        <v>0.0</v>
      </c>
      <c r="F58" s="15">
        <f>MIN(MAX(0,F35),F57)</f>
        <v>0.0</v>
      </c>
      <c r="G58" s="15">
        <f>MIN(MAX(0,G35),G57)</f>
        <v>0.0</v>
      </c>
      <c r="H58" s="15">
        <f>MIN(MAX(0,H35),H57)</f>
        <v>0.0</v>
      </c>
    </row>
    <row r="59" ht="20" customHeight="1">
      <c r="A59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9" s="21">
        <f>'三表-资产负债表'!B14</f>
        <v>425.85752796</v>
      </c>
      <c r="C59" s="21">
        <f>'三表-资产负债表'!C14</f>
        <v>233.71117982</v>
      </c>
      <c r="D59" s="24">
        <f>D57-D58</f>
        <v>233.71117982</v>
      </c>
      <c r="E59" s="24">
        <f>E57-E58</f>
        <v>233.71117982</v>
      </c>
      <c r="F59" s="24">
        <f>F57-F58</f>
        <v>233.71117982</v>
      </c>
      <c r="G59" s="24">
        <f>G57-G58</f>
        <v>233.71117982</v>
      </c>
      <c r="H59" s="24">
        <f>H57-H58</f>
        <v>233.71117982</v>
      </c>
      <c r="I59" s="2"/>
      <c r="J59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60" s="12"/>
      <c r="C60" s="12"/>
      <c r="D60" s="15">
        <f>MAX(0,D57-0.5*D58)*D34</f>
        <v>-577.7435058130613</v>
      </c>
      <c r="E60" s="15">
        <f>MAX(0,E57-0.5*E58)*E34</f>
        <v>-577.7435058130613</v>
      </c>
      <c r="F60" s="15">
        <f>MAX(0,F57-0.5*F58)*F34</f>
        <v>-577.7435058130613</v>
      </c>
      <c r="G60" s="15">
        <f>MAX(0,G57-0.5*G58)*G34</f>
        <v>-577.7435058130613</v>
      </c>
      <c r="H60" s="15">
        <f>MAX(0,H57-0.5*H58)*H34</f>
        <v>-577.7435058130613</v>
      </c>
    </row>
    <row r="61" ht="20" customHeight="1">
      <c r="A61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61" s="31"/>
      <c r="C61" s="31"/>
      <c r="D61" s="31"/>
      <c r="E61" s="31"/>
      <c r="F61" s="31"/>
      <c r="G61" s="31"/>
      <c r="H61" s="31"/>
      <c r="I61" s="31"/>
      <c r="J61" s="31"/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62" s="12"/>
      <c r="C62" s="12"/>
      <c r="D62" s="15">
        <f>MAX(0,'三表-利润表'!D17)*D20</f>
        <v>68433.6542788592</v>
      </c>
      <c r="E62" s="15">
        <f>MAX(0,'三表-利润表'!E17)*E20</f>
        <v>71095.37208523703</v>
      </c>
      <c r="F62" s="15">
        <f>MAX(0,'三表-利润表'!F17)*F20</f>
        <v>74902.53039116618</v>
      </c>
      <c r="G62" s="15">
        <f>MAX(0,'三表-利润表'!G17)*G20</f>
        <v>78914.48794171945</v>
      </c>
      <c r="H62" s="15">
        <f>MAX(0,'三表-利润表'!H17)*H20</f>
        <v>82973.29880073825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170899.15227634</v>
      </c>
      <c r="C5" s="20">
        <v>168838.10251479002</v>
      </c>
      <c r="D5" s="24">
        <f>C5*(1+'三表-假设'!D10)</f>
        <v>172524.76492631703</v>
      </c>
      <c r="E5" s="24">
        <f>D5*(1+'三表-假设'!E10)</f>
        <v>179231.2535182196</v>
      </c>
      <c r="F5" s="24">
        <f>E5*(1+'三表-假设'!F10)</f>
        <v>188516.8394716792</v>
      </c>
      <c r="G5" s="24">
        <f>F5*(1+'三表-假设'!G10)</f>
        <v>198285.5678337664</v>
      </c>
      <c r="H5" s="24">
        <f>G5*(1+'三表-假设'!H10)</f>
        <v>208562.68976180046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13789.48236798</v>
      </c>
      <c r="C6" s="22">
        <v>14892.27757091</v>
      </c>
      <c r="D6" s="15">
        <f>D5*(1-'三表-假设'!D14)</f>
        <v>15223.27141933214</v>
      </c>
      <c r="E6" s="15">
        <f>E5*(1-'三表-假设'!E14)</f>
        <v>15772.634441315951</v>
      </c>
      <c r="F6" s="15">
        <f>F5*(1-'三表-假设'!F14)</f>
        <v>16550.43614746139</v>
      </c>
      <c r="G6" s="15">
        <f>G5*(1-'三表-假设'!G14)</f>
        <v>17365.93231379018</v>
      </c>
      <c r="H6" s="15">
        <f>H5*(1-'三表-假设'!H14)</f>
        <v>18300.291933590404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157109.66990836</v>
      </c>
      <c r="C7" s="24">
        <f>C5-C6</f>
        <v>153945.82494388003</v>
      </c>
      <c r="D7" s="24">
        <f>D5-D6</f>
        <v>157301.4935069849</v>
      </c>
      <c r="E7" s="24">
        <f>E5-E6</f>
        <v>163458.61907690365</v>
      </c>
      <c r="F7" s="24">
        <f>F5-F6</f>
        <v>171966.40332421783</v>
      </c>
      <c r="G7" s="24">
        <f>G5-G6</f>
        <v>180919.6355199762</v>
      </c>
      <c r="H7" s="24">
        <f>H5-H6</f>
        <v>190262.39782821006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37041.08725546999</v>
      </c>
      <c r="C8" s="22">
        <v>37899.57540242002</v>
      </c>
      <c r="D8" s="15">
        <f>D5*'三表-假设'!D18</f>
        <v>39078.862252938095</v>
      </c>
      <c r="E8" s="15">
        <f>E5*'三表-假设'!E18</f>
        <v>40597.95978073819</v>
      </c>
      <c r="F8" s="15">
        <f>F5*'三表-假设'!F18</f>
        <v>42512.73596454952</v>
      </c>
      <c r="G8" s="15">
        <f>G5*'三表-假设'!G18</f>
        <v>44517.41205643109</v>
      </c>
      <c r="H8" s="15">
        <f>H5*'三表-假设'!H18</f>
        <v>46824.74524574335</v>
      </c>
    </row>
    <row r="9" ht="20" customHeight="1">
      <c r="A9" s="19" t="inlineStr">
        <is>
          <t xml:space="preserve">EBITDA</t>
        </is>
      </c>
      <c r="B9" s="24">
        <f>B7-B8</f>
        <v>120068.58265289</v>
      </c>
      <c r="C9" s="24">
        <f>C7-C8</f>
        <v>116046.24954146001</v>
      </c>
      <c r="D9" s="24">
        <f>D7-D8</f>
        <v>118222.6312540468</v>
      </c>
      <c r="E9" s="24">
        <f>E7-E8</f>
        <v>122860.65929616545</v>
      </c>
      <c r="F9" s="24">
        <f>F7-F8</f>
        <v>129453.6673596683</v>
      </c>
      <c r="G9" s="24">
        <f>G7-G8</f>
        <v>136402.22346354512</v>
      </c>
      <c r="H9" s="24">
        <f>H7-H8</f>
        <v>143437.65258246672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1970.33538649</v>
      </c>
      <c r="C10" s="22">
        <v>2182.9519949</v>
      </c>
      <c r="D10" s="23">
        <f>'三表-假设'!D54</f>
        <v>2276.8396369392885</v>
      </c>
      <c r="E10" s="23">
        <f>'三表-假设'!E54</f>
        <v>2382.700405994686</v>
      </c>
      <c r="F10" s="23">
        <f>'三表-假设'!F54</f>
        <v>2493.173680813881</v>
      </c>
      <c r="G10" s="23">
        <f>'三表-假设'!G54</f>
        <v>2610.478677616951</v>
      </c>
      <c r="H10" s="23">
        <f>'三表-假设'!H54</f>
        <v>2734.8784985711122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118098.24726640001</v>
      </c>
      <c r="C11" s="24">
        <f>C9-C10</f>
        <v>113863.29754656002</v>
      </c>
      <c r="D11" s="24">
        <f>D9-D10</f>
        <v>115945.79161710752</v>
      </c>
      <c r="E11" s="24">
        <f>E9-E10</f>
        <v>120477.95889017076</v>
      </c>
      <c r="F11" s="24">
        <f>F9-F10</f>
        <v>126960.49367885441</v>
      </c>
      <c r="G11" s="24">
        <f>G9-G10</f>
        <v>133791.74478592817</v>
      </c>
      <c r="H11" s="24">
        <f>H9-H10</f>
        <v>140702.7740838956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-1470.2198633399998</v>
      </c>
      <c r="C12" s="22">
        <v>-815.24028472</v>
      </c>
      <c r="D12" s="23">
        <f>'三表-假设'!D60</f>
        <v>-577.7435058130613</v>
      </c>
      <c r="E12" s="23">
        <f>'三表-假设'!E60</f>
        <v>-577.7435058130613</v>
      </c>
      <c r="F12" s="23">
        <f>'三表-假设'!F60</f>
        <v>-577.7435058130613</v>
      </c>
      <c r="G12" s="23">
        <f>'三表-假设'!G60</f>
        <v>-577.7435058130613</v>
      </c>
      <c r="H12" s="23">
        <f>'三表-假设'!H60</f>
        <v>-577.7435058130613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119568.46712974</v>
      </c>
      <c r="C13" s="15">
        <f>C11-C12</f>
        <v>114678.53783128002</v>
      </c>
      <c r="D13" s="15">
        <f>D11-D12</f>
        <v>116523.53512292058</v>
      </c>
      <c r="E13" s="15">
        <f>E11-E12</f>
        <v>121055.70239598383</v>
      </c>
      <c r="F13" s="15">
        <f>F11-F12</f>
        <v>127538.23718466748</v>
      </c>
      <c r="G13" s="15">
        <f>G11-G12</f>
        <v>134369.48829174123</v>
      </c>
      <c r="H13" s="15">
        <f>H11-H12</f>
        <v>141280.51758970867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70.11106472</v>
      </c>
      <c r="C14" s="22">
        <v>76.7237738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119638.57819446</v>
      </c>
      <c r="C15" s="24">
        <f>C13+C14</f>
        <v>114755.26160508001</v>
      </c>
      <c r="D15" s="24">
        <f>D13+D14</f>
        <v>116523.53512292058</v>
      </c>
      <c r="E15" s="24">
        <f>E13+E14</f>
        <v>121055.70239598383</v>
      </c>
      <c r="F15" s="24">
        <f>F13+F14</f>
        <v>127538.23718466748</v>
      </c>
      <c r="G15" s="24">
        <f>G13+G14</f>
        <v>134369.48829174123</v>
      </c>
      <c r="H15" s="24">
        <f>H13+H14</f>
        <v>141280.51758970867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30303.850168560002</v>
      </c>
      <c r="C16" s="22">
        <v>29444.93677141</v>
      </c>
      <c r="D16" s="15">
        <f>MAX(D15,0)*'三表-假设'!D19</f>
        <v>29898.6562889216</v>
      </c>
      <c r="E16" s="15">
        <f>MAX(E15,0)*'三表-假设'!E19</f>
        <v>31061.56051593696</v>
      </c>
      <c r="F16" s="15">
        <f>MAX(F15,0)*'三表-假设'!F19</f>
        <v>32724.907575596368</v>
      </c>
      <c r="G16" s="15">
        <f>MAX(G15,0)*'三表-假设'!G19</f>
        <v>34477.731403488775</v>
      </c>
      <c r="H16" s="15">
        <f>MAX(H15,0)*'三表-假设'!H19</f>
        <v>36251.02543687543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89334.7280259</v>
      </c>
      <c r="C17" s="8">
        <f>C15-C16</f>
        <v>85310.32483367002</v>
      </c>
      <c r="D17" s="8">
        <f>D15-D16</f>
        <v>86624.87883399898</v>
      </c>
      <c r="E17" s="8">
        <f>E15-E16</f>
        <v>89994.14188004687</v>
      </c>
      <c r="F17" s="8">
        <f>F15-F16</f>
        <v>94813.32960907111</v>
      </c>
      <c r="G17" s="8">
        <f>G15-G16</f>
        <v>99891.75688825245</v>
      </c>
      <c r="H17" s="8">
        <f>H15-H16</f>
        <v>105029.49215283323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-0.012060035021222992</v>
      </c>
      <c r="D20" s="14">
        <f>D5/C5-1</f>
        <v>0.021835488296867434</v>
      </c>
      <c r="E20" s="14">
        <f>E5/D5-1</f>
        <v>0.03887261399699238</v>
      </c>
      <c r="F20" s="14">
        <f>F5/E5-1</f>
        <v>0.05180785031175206</v>
      </c>
      <c r="G20" s="14">
        <f>G5/F5-1</f>
        <v>0.05181886344723452</v>
      </c>
      <c r="H20" s="14">
        <f>H5/G5-1</f>
        <v>0.05182990391237108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0.9193121663606457</v>
      </c>
      <c r="C21" s="14">
        <f>C7/C5</f>
        <v>0.9117955168348006</v>
      </c>
      <c r="D21" s="14">
        <f>D7/D5</f>
        <v>0.9117618190882116</v>
      </c>
      <c r="E21" s="14">
        <f>E7/E5</f>
        <v>0.9119984147200499</v>
      </c>
      <c r="F21" s="14">
        <f>F7/F5</f>
        <v>0.9122071206272915</v>
      </c>
      <c r="G21" s="14">
        <f>G7/G5</f>
        <v>0.9124195850282507</v>
      </c>
      <c r="H21" s="14">
        <f>H7/H5</f>
        <v>0.9122551979239855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0.6910405680388505</v>
      </c>
      <c r="C22" s="14">
        <f>C11/C5</f>
        <v>0.674393373596376</v>
      </c>
      <c r="D22" s="14">
        <f>D11/D5</f>
        <v>0.6720530334681307</v>
      </c>
      <c r="E22" s="14">
        <f>E11/E5</f>
        <v>0.6721928041301328</v>
      </c>
      <c r="F22" s="14">
        <f>F11/F5</f>
        <v>0.6734703066031809</v>
      </c>
      <c r="G22" s="14">
        <f>G11/G5</f>
        <v>0.6747427271060549</v>
      </c>
      <c r="H22" s="14">
        <f>H11/H5</f>
        <v>0.6746306074427421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0.5227335936777954</v>
      </c>
      <c r="C23" s="14">
        <f>C17/C5</f>
        <v>0.5052788651554345</v>
      </c>
      <c r="D23" s="14">
        <f>D17/D5</f>
        <v>0.5021011265889583</v>
      </c>
      <c r="E23" s="14">
        <f>E17/E5</f>
        <v>0.5021118812344778</v>
      </c>
      <c r="F23" s="14">
        <f>F17/F5</f>
        <v>0.5029435559963059</v>
      </c>
      <c r="G23" s="14">
        <f>G17/G5</f>
        <v>0.5037772439999121</v>
      </c>
      <c r="H23" s="14">
        <f>H17/H5</f>
        <v>0.5035871577643511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0.2532949707852952</v>
      </c>
      <c r="C24" s="14">
        <f>C16/C15</f>
        <v>0.25658899086250286</v>
      </c>
      <c r="D24" s="14">
        <f>D16/D15</f>
        <v>0.25658899086250286</v>
      </c>
      <c r="E24" s="14">
        <f>E16/E15</f>
        <v>0.25658899086250286</v>
      </c>
      <c r="F24" s="14">
        <f>F16/F15</f>
        <v>0.25658899086250286</v>
      </c>
      <c r="G24" s="14">
        <f>G16/G15</f>
        <v>0.25658899086250286</v>
      </c>
      <c r="H24" s="14">
        <f>H16/H15</f>
        <v>0.25658899086250286</v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59295.82295689</v>
      </c>
      <c r="C6" s="22">
        <v>51690.6109465</v>
      </c>
      <c r="D6" s="23">
        <f>'三表-现金流量表'!D21</f>
        <v>67431.91081974874</v>
      </c>
      <c r="E6" s="23">
        <f>'三表-现金流量表'!E21</f>
        <v>83010.47485628244</v>
      </c>
      <c r="F6" s="23">
        <f>'三表-现金流量表'!F21</f>
        <v>98644.99962492353</v>
      </c>
      <c r="G6" s="23">
        <f>'三表-现金流量表'!G21</f>
        <v>115122.57866165851</v>
      </c>
      <c r="H6" s="23">
        <f>'三表-现金流量表'!H21</f>
        <v>132139.63014691166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18.97419275</v>
      </c>
      <c r="C7" s="22">
        <v>2.60904849</v>
      </c>
      <c r="D7" s="23">
        <f>'三表-假设'!D46</f>
        <v>2.666018337769355</v>
      </c>
      <c r="E7" s="23">
        <f>'三表-假设'!E46</f>
        <v>2.7696534395223664</v>
      </c>
      <c r="F7" s="23">
        <f>'三表-假设'!F46</f>
        <v>2.91314323033257</v>
      </c>
      <c r="G7" s="23">
        <f>'三表-假设'!G46</f>
        <v>3.0640990015874103</v>
      </c>
      <c r="H7" s="23">
        <f>'三表-假设'!H46</f>
        <v>3.2229109584176774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54343.28515747</v>
      </c>
      <c r="C8" s="22">
        <v>61427.42179618</v>
      </c>
      <c r="D8" s="23">
        <f>'三表-假设'!D47</f>
        <v>62792.69978285166</v>
      </c>
      <c r="E8" s="23">
        <f>'三表-假设'!E47</f>
        <v>65058.70334811838</v>
      </c>
      <c r="F8" s="23">
        <f>'三表-假设'!F47</f>
        <v>68266.96704382822</v>
      </c>
      <c r="G8" s="23">
        <f>'三表-假设'!G47</f>
        <v>71630.71222946039</v>
      </c>
      <c r="H8" s="23">
        <f>'三表-假设'!H47</f>
        <v>75484.74343466035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24021.06668419</v>
      </c>
      <c r="C9" s="22">
        <v>24960.00833493</v>
      </c>
      <c r="D9" s="23">
        <f>'三表-假设'!D55</f>
        <v>26133.663996517054</v>
      </c>
      <c r="E9" s="23">
        <f>'三表-假设'!E55</f>
        <v>27335.588660886762</v>
      </c>
      <c r="F9" s="23">
        <f>'三表-假设'!F55</f>
        <v>28612.751769506467</v>
      </c>
      <c r="G9" s="23">
        <f>'三表-假设'!G55</f>
        <v>29967.984448564846</v>
      </c>
      <c r="H9" s="23">
        <f>'三表-假设'!H55</f>
        <v>31404.359745229744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161265.43092740004</v>
      </c>
      <c r="C10" s="22">
        <v>165754.19389534002</v>
      </c>
      <c r="D10" s="15">
        <f>C10</f>
        <v>165754.19389534002</v>
      </c>
      <c r="E10" s="15">
        <f>D10</f>
        <v>165754.19389534002</v>
      </c>
      <c r="F10" s="15">
        <f>E10</f>
        <v>165754.19389534002</v>
      </c>
      <c r="G10" s="15">
        <f>F10</f>
        <v>165754.19389534002</v>
      </c>
      <c r="H10" s="15">
        <f>G10</f>
        <v>165754.19389534002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298944.57991870004</v>
      </c>
      <c r="C11" s="24">
        <f>SUM(C6:C10)</f>
        <v>303834.84402144</v>
      </c>
      <c r="D11" s="24">
        <f>SUM(D6:D10)</f>
        <v>322115.13451279525</v>
      </c>
      <c r="E11" s="24">
        <f>SUM(E6:E10)</f>
        <v>341161.73041406716</v>
      </c>
      <c r="F11" s="24">
        <f>SUM(F6:F10)</f>
        <v>361281.82547682856</v>
      </c>
      <c r="G11" s="24">
        <f>SUM(G6:G10)</f>
        <v>382478.53333402536</v>
      </c>
      <c r="H11" s="24">
        <f>SUM(H6:H10)</f>
        <v>404786.1501331002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3514.96923031</v>
      </c>
      <c r="C13" s="22">
        <v>4007.30904987</v>
      </c>
      <c r="D13" s="23">
        <f>'三表-假设'!D48</f>
        <v>4096.374986085442</v>
      </c>
      <c r="E13" s="23">
        <f>'三表-假设'!E48</f>
        <v>4244.201092547487</v>
      </c>
      <c r="F13" s="23">
        <f>'三表-假设'!F48</f>
        <v>4453.496937403976</v>
      </c>
      <c r="G13" s="23">
        <f>'三表-假设'!G48</f>
        <v>4672.93584806779</v>
      </c>
      <c r="H13" s="23">
        <f>'三表-假设'!H48</f>
        <v>4924.359295047615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425.85752796</v>
      </c>
      <c r="C14" s="22">
        <v>233.71117982</v>
      </c>
      <c r="D14" s="23">
        <f>'三表-假设'!D59</f>
        <v>233.71117982</v>
      </c>
      <c r="E14" s="23">
        <f>'三表-假设'!E59</f>
        <v>233.71117982</v>
      </c>
      <c r="F14" s="23">
        <f>'三表-假设'!F59</f>
        <v>233.71117982</v>
      </c>
      <c r="G14" s="23">
        <f>'三表-假设'!G59</f>
        <v>233.71117982</v>
      </c>
      <c r="H14" s="23">
        <f>'三表-假设'!H59</f>
        <v>233.71117982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52992.43803983</v>
      </c>
      <c r="C15" s="22">
        <v>45634.56988268001</v>
      </c>
      <c r="D15" s="15">
        <f>C15</f>
        <v>45634.56988268001</v>
      </c>
      <c r="E15" s="15">
        <f>D15</f>
        <v>45634.56988268001</v>
      </c>
      <c r="F15" s="15">
        <f>E15</f>
        <v>45634.56988268001</v>
      </c>
      <c r="G15" s="15">
        <f>F15</f>
        <v>45634.56988268001</v>
      </c>
      <c r="H15" s="15">
        <f>G15</f>
        <v>45634.56988268001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56933.2647981</v>
      </c>
      <c r="C16" s="24">
        <f>SUM(C13:C15)</f>
        <v>49875.59011237001</v>
      </c>
      <c r="D16" s="24">
        <f>SUM(D13:D15)</f>
        <v>49964.65604858545</v>
      </c>
      <c r="E16" s="24">
        <f>SUM(E13:E15)</f>
        <v>50112.482155047495</v>
      </c>
      <c r="F16" s="24">
        <f>SUM(F13:F15)</f>
        <v>50321.777999903985</v>
      </c>
      <c r="G16" s="24">
        <f>SUM(G13:G15)</f>
        <v>50541.2169105678</v>
      </c>
      <c r="H16" s="24">
        <f>SUM(H13:H15)</f>
        <v>50792.64035754762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242011.31512060002</v>
      </c>
      <c r="C18" s="22">
        <v>253959.25390907002</v>
      </c>
      <c r="D18" s="15">
        <f>C18</f>
        <v>253959.25390907002</v>
      </c>
      <c r="E18" s="15">
        <f>D18</f>
        <v>253959.25390907002</v>
      </c>
      <c r="F18" s="15">
        <f>E18</f>
        <v>253959.25390907002</v>
      </c>
      <c r="G18" s="15">
        <f>F18</f>
        <v>253959.25390907002</v>
      </c>
      <c r="H18" s="15">
        <f>G18</f>
        <v>253959.25390907002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C19+'三表-利润表'!D17-'三表-假设'!D62</f>
        <v>18191.22455513978</v>
      </c>
      <c r="E19" s="15">
        <f>D19+'三表-利润表'!E17-'三表-假设'!E62</f>
        <v>37089.994349949615</v>
      </c>
      <c r="F19" s="15">
        <f>E19+'三表-利润表'!F17-'三表-假设'!F62</f>
        <v>57000.79356785455</v>
      </c>
      <c r="G19" s="15">
        <f>F19+'三表-利润表'!G17-'三表-假设'!G62</f>
        <v>77978.06251438755</v>
      </c>
      <c r="H19" s="15">
        <f>G19+'三表-利润表'!H17-'三表-假设'!H62</f>
        <v>100034.25586648253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242011.31512060002</v>
      </c>
      <c r="C20" s="24">
        <f>C18+C19</f>
        <v>253959.25390907002</v>
      </c>
      <c r="D20" s="24">
        <f>D18+D19</f>
        <v>272150.4784642098</v>
      </c>
      <c r="E20" s="24">
        <f>E18+E19</f>
        <v>291049.24825901963</v>
      </c>
      <c r="F20" s="24">
        <f>F18+F19</f>
        <v>310960.04747692455</v>
      </c>
      <c r="G20" s="24">
        <f>G18+G19</f>
        <v>331937.3164234576</v>
      </c>
      <c r="H20" s="24">
        <f>H18+H19</f>
        <v>353993.50977555255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298944.57991870004</v>
      </c>
      <c r="C21" s="8">
        <f>C16+C20</f>
        <v>303834.84402144</v>
      </c>
      <c r="D21" s="8">
        <f>D16+D20</f>
        <v>322115.13451279525</v>
      </c>
      <c r="E21" s="8">
        <f>E16+E20</f>
        <v>341161.7304140671</v>
      </c>
      <c r="F21" s="8">
        <f>F16+F20</f>
        <v>361281.82547682856</v>
      </c>
      <c r="G21" s="8">
        <f>G16+G20</f>
        <v>382478.53333402536</v>
      </c>
      <c r="H21" s="8">
        <f>H16+H20</f>
        <v>404786.15013310016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ROUND(C19+'三表-利润表'!D17-'三表-假设'!D62-D19,6)</f>
        <v>0.0</v>
      </c>
      <c r="E26" s="16">
        <f>ROUND(D19+'三表-利润表'!E17-'三表-假设'!E62-E19,6)</f>
        <v>0.0</v>
      </c>
      <c r="F26" s="16">
        <f>ROUND(E19+'三表-利润表'!F17-'三表-假设'!F62-F19,6)</f>
        <v>0.0</v>
      </c>
      <c r="G26" s="16">
        <f>ROUND(F19+'三表-利润表'!G17-'三表-假设'!G62-G19,6)</f>
        <v>0.0</v>
      </c>
      <c r="H26" s="16">
        <f>ROUND(G19+'三表-利润表'!H17-'三表-假设'!H62-H19,6)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ROUND('三表-假设'!D52+'三表-假设'!D53-'三表-假设'!D54-'三表-假设'!D55,6)</f>
        <v>0.0</v>
      </c>
      <c r="E27" s="16">
        <f>ROUND('三表-假设'!E52+'三表-假设'!E53-'三表-假设'!E54-'三表-假设'!E55,6)</f>
        <v>0.0</v>
      </c>
      <c r="F27" s="16">
        <f>ROUND('三表-假设'!F52+'三表-假设'!F53-'三表-假设'!F54-'三表-假设'!F55,6)</f>
        <v>0.0</v>
      </c>
      <c r="G27" s="16">
        <f>ROUND('三表-假设'!G52+'三表-假设'!G53-'三表-假设'!G54-'三表-假设'!G55,6)</f>
        <v>0.0</v>
      </c>
      <c r="H27" s="16">
        <f>ROUND('三表-假设'!H52+'三表-假设'!H53-'三表-假设'!H54-'三表-假设'!H55,6)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ROUND('三表-假设'!D57-'三表-假设'!D58-'三表-假设'!D59,6)</f>
        <v>0.0</v>
      </c>
      <c r="E28" s="16">
        <f>ROUND('三表-假设'!E57-'三表-假设'!E58-'三表-假设'!E59,6)</f>
        <v>0.0</v>
      </c>
      <c r="F28" s="16">
        <f>ROUND('三表-假设'!F57-'三表-假设'!F58-'三表-假设'!F59,6)</f>
        <v>0.0</v>
      </c>
      <c r="G28" s="16">
        <f>ROUND('三表-假设'!G57-'三表-假设'!G58-'三表-假设'!G59,6)</f>
        <v>0.0</v>
      </c>
      <c r="H28" s="16">
        <f>ROUND('三表-假设'!H57-'三表-假设'!H58-'三表-假设'!H59,6)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42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89334.7280259</v>
      </c>
      <c r="C6" s="23">
        <f>'三表-利润表'!C17</f>
        <v>85310.32483367002</v>
      </c>
      <c r="D6" s="23">
        <f>'三表-利润表'!D17</f>
        <v>86624.87883399898</v>
      </c>
      <c r="E6" s="23">
        <f>'三表-利润表'!E17</f>
        <v>89994.14188004687</v>
      </c>
      <c r="F6" s="23">
        <f>'三表-利润表'!F17</f>
        <v>94813.32960907111</v>
      </c>
      <c r="G6" s="23">
        <f>'三表-利润表'!G17</f>
        <v>99891.75688825245</v>
      </c>
      <c r="H6" s="23">
        <f>'三表-利润表'!H17</f>
        <v>105029.49215283323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1970.33538649</v>
      </c>
      <c r="C7" s="23">
        <f>'三表-利润表'!C10</f>
        <v>2182.9519949</v>
      </c>
      <c r="D7" s="23">
        <f>'三表-利润表'!D10</f>
        <v>2276.8396369392885</v>
      </c>
      <c r="E7" s="23">
        <f>'三表-利润表'!E10</f>
        <v>2382.700405994686</v>
      </c>
      <c r="F7" s="23">
        <f>'三表-利润表'!F10</f>
        <v>2493.173680813881</v>
      </c>
      <c r="G7" s="23">
        <f>'三表-利润表'!G10</f>
        <v>2610.478677616951</v>
      </c>
      <c r="H7" s="23">
        <f>'三表-利润表'!H10</f>
        <v>2734.8784985711122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-'三表-假设'!C50</f>
        <v>-6575.431674890002</v>
      </c>
      <c r="D8" s="15">
        <f>-'三表-假设'!D50</f>
        <v>-1276.269020303982</v>
      </c>
      <c r="E8" s="15">
        <f>-'三表-假设'!E50</f>
        <v>-2118.2810939064293</v>
      </c>
      <c r="F8" s="15">
        <f>-'三表-假设'!F50</f>
        <v>-2999.111340644151</v>
      </c>
      <c r="G8" s="15">
        <f>-'三表-假设'!G50</f>
        <v>-3144.4572307396156</v>
      </c>
      <c r="H8" s="15">
        <f>-'三表-假设'!H50</f>
        <v>-3602.766570176973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-19395.640164330016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92463.69216842999</v>
      </c>
      <c r="C10" s="20">
        <v>61522.20498935</v>
      </c>
      <c r="D10" s="24">
        <f>SUM(D6:D9)</f>
        <v>87625.44945063429</v>
      </c>
      <c r="E10" s="24">
        <f>SUM(E6:E9)</f>
        <v>90258.56119213512</v>
      </c>
      <c r="F10" s="24">
        <f>SUM(F6:F9)</f>
        <v>94307.39194924085</v>
      </c>
      <c r="G10" s="24">
        <f>SUM(G6:G9)</f>
        <v>99357.77833512978</v>
      </c>
      <c r="H10" s="24">
        <f>SUM(H6:H9)</f>
        <v>104161.60408122737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-4678.712053560001</v>
      </c>
      <c r="C12" s="22">
        <v>-3127.5949164099998</v>
      </c>
      <c r="D12" s="15">
        <f>-'三表-假设'!D53</f>
        <v>-3450.495298526341</v>
      </c>
      <c r="E12" s="15">
        <f>-'三表-假设'!E53</f>
        <v>-3584.6250703643923</v>
      </c>
      <c r="F12" s="15">
        <f>-'三表-假设'!F53</f>
        <v>-3770.3367894335843</v>
      </c>
      <c r="G12" s="15">
        <f>-'三表-假设'!G53</f>
        <v>-3965.7113566753283</v>
      </c>
      <c r="H12" s="15">
        <f>-'三表-假设'!H53</f>
        <v>-4171.253795236009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-3450.495298526341</v>
      </c>
      <c r="E13" s="24">
        <f>E12</f>
        <v>-3584.6250703643923</v>
      </c>
      <c r="F13" s="24">
        <f>F12</f>
        <v>-3770.3367894335843</v>
      </c>
      <c r="G13" s="24">
        <f>G12</f>
        <v>-3965.7113566753283</v>
      </c>
      <c r="H13" s="24">
        <f>H12</f>
        <v>-4171.253795236009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-'三表-假设'!D58</f>
        <v>-0.0</v>
      </c>
      <c r="E15" s="15">
        <f>-'三表-假设'!E58</f>
        <v>-0.0</v>
      </c>
      <c r="F15" s="15">
        <f>-'三表-假设'!F58</f>
        <v>-0.0</v>
      </c>
      <c r="G15" s="15">
        <f>-'三表-假设'!G58</f>
        <v>-0.0</v>
      </c>
      <c r="H15" s="15">
        <f>-'三表-假设'!H58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-'三表-假设'!D62</f>
        <v>-68433.6542788592</v>
      </c>
      <c r="E16" s="15">
        <f>-'三表-假设'!E62</f>
        <v>-71095.37208523703</v>
      </c>
      <c r="F16" s="15">
        <f>-'三表-假设'!F62</f>
        <v>-74902.53039116618</v>
      </c>
      <c r="G16" s="15">
        <f>-'三表-假设'!G62</f>
        <v>-78914.48794171945</v>
      </c>
      <c r="H16" s="15">
        <f>-'三表-假设'!H62</f>
        <v>-82973.29880073825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-68433.6542788592</v>
      </c>
      <c r="E17" s="24">
        <f>E15+E16</f>
        <v>-71095.37208523703</v>
      </c>
      <c r="F17" s="24">
        <f>F15+F16</f>
        <v>-74902.53039116618</v>
      </c>
      <c r="G17" s="24">
        <f>G15+G16</f>
        <v>-78914.48794171945</v>
      </c>
      <c r="H17" s="24">
        <f>H15+H16</f>
        <v>-82973.29880073825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15741.29987324874</v>
      </c>
      <c r="E19" s="15">
        <f>E10+E13+E17</f>
        <v>15578.564036533702</v>
      </c>
      <c r="F19" s="15">
        <f>F10+F13+F17</f>
        <v>15634.524768641088</v>
      </c>
      <c r="G19" s="15">
        <f>G10+G13+G17</f>
        <v>16477.579036734984</v>
      </c>
      <c r="H19" s="15">
        <f>H10+H13+H17</f>
        <v>17017.05148525315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51690.6109465</v>
      </c>
      <c r="E20" s="15">
        <f>D21</f>
        <v>67431.91081974874</v>
      </c>
      <c r="F20" s="15">
        <f>E21</f>
        <v>83010.47485628244</v>
      </c>
      <c r="G20" s="15">
        <f>F21</f>
        <v>98644.99962492353</v>
      </c>
      <c r="H20" s="15">
        <f>G21</f>
        <v>115122.57866165851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67431.91081974874</v>
      </c>
      <c r="E21" s="8">
        <f>E20+E19</f>
        <v>83010.47485628244</v>
      </c>
      <c r="F21" s="8">
        <f>F20+F19</f>
        <v>98644.99962492353</v>
      </c>
      <c r="G21" s="8">
        <f>G20+G19</f>
        <v>115122.57866165851</v>
      </c>
      <c r="H21" s="8">
        <f>H20+H19</f>
        <v>132139.63014691166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2.5" customWidth="1"/>
    <col min="3" max="3" width="12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170899.15227634</v>
      </c>
      <c r="C6" s="22">
        <v>168838.10251479002</v>
      </c>
      <c r="D6" s="45">
        <f>IF(B6=0,"NM",(C6-B6)/ABS(B6))</f>
        <v>-0.012060035021222966</v>
      </c>
      <c r="E6" s="12" t="inlineStr">
        <is>
          <t xml:space="preserve">p.6</t>
        </is>
      </c>
      <c r="F6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13789.48236798</v>
      </c>
      <c r="C7" s="22">
        <v>14892.27757091</v>
      </c>
      <c r="D7" s="45">
        <f>IF(B7=0,"NM",(C7-B7)/ABS(B7))</f>
        <v>0.07997364755987924</v>
      </c>
      <c r="E7" s="12" t="inlineStr">
        <is>
          <t xml:space="preserve">p.9</t>
        </is>
      </c>
      <c r="F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5639.3000594899995</v>
      </c>
      <c r="C8" s="22">
        <v>7253.49960068</v>
      </c>
      <c r="D8" s="45">
        <f>IF(B8=0,"NM",(C8-B8)/ABS(B8))</f>
        <v>0.2862411157699567</v>
      </c>
      <c r="E8" s="12" t="inlineStr">
        <is>
          <t xml:space="preserve">p.9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9315.65006038</v>
      </c>
      <c r="C9" s="22">
        <v>8320.06165966</v>
      </c>
      <c r="D9" s="45">
        <f>IF(B9=0,"NM",(C9-B9)/ABS(B9))</f>
        <v>-0.10687267064209459</v>
      </c>
      <c r="E9" s="12" t="inlineStr">
        <is>
          <t xml:space="preserve">p.9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218.37547287</v>
      </c>
      <c r="C10" s="22">
        <v>190.11224658</v>
      </c>
      <c r="D10" s="45">
        <f>IF(B10=0,"NM",(C10-B10)/ABS(B10))</f>
        <v>-0.1294249116833063</v>
      </c>
      <c r="E10" s="12" t="inlineStr">
        <is>
          <t xml:space="preserve">p.9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-1470.2198633399998</v>
      </c>
      <c r="C11" s="22">
        <v>-815.24028472</v>
      </c>
      <c r="D11" s="45">
        <f>IF(B11=0,"NM",(C11-B11)/ABS(B11))</f>
        <v>0.4454977074871221</v>
      </c>
      <c r="E11" s="12" t="inlineStr">
        <is>
          <t xml:space="preserve">p.9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9.130340369999999</v>
      </c>
      <c r="C12" s="22">
        <v>0.56117614</v>
      </c>
      <c r="D12" s="45">
        <f>IF(B12=0,"NM",(C12-B12)/ABS(B12))</f>
        <v>-0.9385372157818033</v>
      </c>
      <c r="E12" s="12" t="inlineStr">
        <is>
          <t xml:space="preserve">p.61</t>
        </is>
      </c>
      <c r="F12" s="12" t="inlineStr">
        <is>
          <r>
            <rPr>
              <sz val="12"/>
              <rFont val="KaiTi"/>
              <family val="2"/>
            </rPr>
            <t xml:space="preserve">投资收益（损失以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
列）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22">
        <v>60.98072435</v>
      </c>
      <c r="C13" s="22">
        <v>76.16259766</v>
      </c>
      <c r="D13" s="45">
        <f>IF(B13=0,"NM",(C13-B13)/ABS(B13))</f>
        <v>0.2489618395292151</v>
      </c>
      <c r="E13" s="12" t="inlineStr">
        <is>
          <t xml:space="preserve">p.61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公允价值变动收益（损失以
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119688.57945322999</v>
      </c>
      <c r="C14" s="20">
        <v>114808.95016424</v>
      </c>
      <c r="D14" s="46">
        <f>IF(B14=0,"NM",(C14-B14)/ABS(B14))</f>
        <v>-0.0407693809324287</v>
      </c>
      <c r="E14" s="19" t="inlineStr">
        <is>
          <t xml:space="preserve">p.62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119638.57819446</v>
      </c>
      <c r="C15" s="20">
        <v>114755.26160508</v>
      </c>
      <c r="D15" s="46">
        <f>IF(B15=0,"NM",(C15-B15)/ABS(B15))</f>
        <v>-0.04081724025040387</v>
      </c>
      <c r="E15" s="19" t="inlineStr">
        <is>
          <t xml:space="preserve">p.6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30303.850168560002</v>
      </c>
      <c r="C16" s="22">
        <v>29444.93677141</v>
      </c>
      <c r="D16" s="45">
        <f>IF(B16=0,"NM",(C16-B16)/ABS(B16))</f>
        <v>-0.028343375259989805</v>
      </c>
      <c r="E16" s="12" t="inlineStr">
        <is>
          <t xml:space="preserve">p.62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89334.7280259</v>
      </c>
      <c r="C17" s="20">
        <v>85310.32483367</v>
      </c>
      <c r="D17" s="46">
        <f>IF(B17=0,"NM",(C17-B17)/ABS(B17))</f>
        <v>-0.045048586156362765</v>
      </c>
      <c r="E17" s="19" t="inlineStr">
        <is>
          <t xml:space="preserve">p.115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净利润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86228.14642162</v>
      </c>
      <c r="C18" s="20">
        <v>82320.06710167999</v>
      </c>
      <c r="D18" s="46">
        <f>IF(B18=0,"NM",(C18-B18)/ABS(B18))</f>
        <v>-0.04532254817158094</v>
      </c>
      <c r="E18" s="19" t="inlineStr">
        <is>
          <t xml:space="preserve">p.6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86240.90597742</v>
      </c>
      <c r="C19" s="22">
        <v>82293.10765525</v>
      </c>
      <c r="D19" s="45">
        <f>IF(B19=0,"NM",(C19-B19)/ABS(B19))</f>
        <v>-0.04577640131938814</v>
      </c>
      <c r="E19" s="12" t="inlineStr">
        <is>
          <t xml:space="preserve">p.6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归属于上市公司股东的扣除非
经常性损益的净利润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-12.759555800000001</v>
      </c>
      <c r="C20" s="22">
        <v>26.95944643</v>
      </c>
      <c r="D20" s="45">
        <f>IF(B20=0,"NM",(C20-B20)/ABS(B20))</f>
        <v>3.112882834839752</v>
      </c>
      <c r="E20" s="12" t="inlineStr">
        <is>
          <t xml:space="preserve">p.7</t>
        </is>
      </c>
      <c r="F20" s="12" t="inlineStr">
        <is>
          <r>
            <rPr>
              <sz val="12"/>
              <rFont val="KaiTi"/>
              <family val="2"/>
            </rPr>
            <t xml:space="preserve">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59295.82295689</v>
      </c>
      <c r="C22" s="22">
        <v>51690.6109465</v>
      </c>
      <c r="D22" s="45">
        <f>IF(B22=0,"NM",(C22-B22)/ABS(B22))</f>
        <v>-0.12825881539614079</v>
      </c>
      <c r="E22" s="12" t="inlineStr">
        <is>
          <t xml:space="preserve">p.56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18.97419275</v>
      </c>
      <c r="C23" s="22">
        <v>2.60904849</v>
      </c>
      <c r="D23" s="45">
        <f>IF(B23=0,"NM",(C23-B23)/ABS(B23))</f>
        <v>-0.8624948884847815</v>
      </c>
      <c r="E23" s="12" t="inlineStr">
        <is>
          <t xml:space="preserve">p.57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54343.28515747</v>
      </c>
      <c r="C24" s="22">
        <v>61427.42179618</v>
      </c>
      <c r="D24" s="45">
        <f>IF(B24=0,"NM",(C24-B24)/ABS(B24))</f>
        <v>0.13035900605166517</v>
      </c>
      <c r="E24" s="12" t="inlineStr">
        <is>
          <t xml:space="preserve">p.57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21871.44674714</v>
      </c>
      <c r="C25" s="22">
        <v>22488.12230435</v>
      </c>
      <c r="D25" s="45">
        <f>IF(B25=0,"NM",(C25-B25)/ABS(B25))</f>
        <v>0.02819546252881694</v>
      </c>
      <c r="E25" s="12" t="inlineStr">
        <is>
          <t xml:space="preserve">p.57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2149.6199370500003</v>
      </c>
      <c r="C26" s="22">
        <v>2471.88603058</v>
      </c>
      <c r="D26" s="45">
        <f>IF(B26=0,"NM",(C26-B26)/ABS(B26))</f>
        <v>0.14991770776570706</v>
      </c>
      <c r="E26" s="12" t="inlineStr">
        <is>
          <t xml:space="preserve">p.57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298944.57991870004</v>
      </c>
      <c r="C27" s="20">
        <v>303834.84402144</v>
      </c>
      <c r="D27" s="46">
        <f>IF(B27=0,"NM",(C27-B27)/ABS(B27))</f>
        <v>0.016358430395593457</v>
      </c>
      <c r="E27" s="19" t="inlineStr">
        <is>
          <t xml:space="preserve">p.6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总资产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3514.96923031</v>
      </c>
      <c r="C28" s="22">
        <v>4007.30904987</v>
      </c>
      <c r="D28" s="45">
        <f>IF(B28=0,"NM",(C28-B28)/ABS(B28))</f>
        <v>0.14006945361412973</v>
      </c>
      <c r="E28" s="12" t="inlineStr">
        <is>
          <t xml:space="preserve">p.58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111.9511122</v>
      </c>
      <c r="C29" s="22">
        <v>44.20623705</v>
      </c>
      <c r="D29" s="45">
        <f>IF(B29=0,"NM",(C29-B29)/ABS(B29))</f>
        <v>-0.6051290944655752</v>
      </c>
      <c r="E29" s="12" t="inlineStr">
        <is>
          <t xml:space="preserve">p.58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313.90641576</v>
      </c>
      <c r="C30" s="22">
        <v>189.50494277</v>
      </c>
      <c r="D30" s="45">
        <f>IF(B30=0,"NM",(C30-B30)/ABS(B30))</f>
        <v>-0.39630114819033285</v>
      </c>
      <c r="E30" s="12" t="inlineStr">
        <is>
          <t xml:space="preserve">p.58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56933.2647981</v>
      </c>
      <c r="C31" s="20">
        <v>49875.59011237</v>
      </c>
      <c r="D31" s="46">
        <f>IF(B31=0,"NM",(C31-B31)/ABS(B31))</f>
        <v>-0.12396399030967792</v>
      </c>
      <c r="E31" s="19" t="inlineStr">
        <is>
          <t xml:space="preserve">p.58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233105.98439947</v>
      </c>
      <c r="C32" s="22">
        <v>244637.81103218</v>
      </c>
      <c r="D32" s="45">
        <f>IF(B32=0,"NM",(C32-B32)/ABS(B32))</f>
        <v>0.049470315669580114</v>
      </c>
      <c r="E32" s="12" t="inlineStr">
        <is>
          <t xml:space="preserve">p.6</t>
        </is>
      </c>
      <c r="F32" s="12" t="inlineStr">
        <is>
          <r>
            <rPr>
              <sz val="12"/>
              <rFont val="KaiTi"/>
              <family val="2"/>
            </rPr>
            <t xml:space="preserve">归属于上市公司股东的净资产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8905.33072113</v>
      </c>
      <c r="C33" s="22">
        <v>9321.44287689</v>
      </c>
      <c r="D33" s="45">
        <f>IF(B33=0,"NM",(C33-B33)/ABS(B33))</f>
        <v>0.04672618780711598</v>
      </c>
      <c r="E33" s="12" t="inlineStr">
        <is>
          <t xml:space="preserve">p.59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242011.31512060002</v>
      </c>
      <c r="C34" s="20">
        <v>253959.25390907002</v>
      </c>
      <c r="D34" s="46">
        <f>IF(B34=0,"NM",(C34-B34)/ABS(B34))</f>
        <v>0.04936933953900483</v>
      </c>
      <c r="E34" s="19" t="inlineStr">
        <is>
          <t xml:space="preserve">p.59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所有者权益（或股东权益）合计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92463.69216842999</v>
      </c>
      <c r="C36" s="20">
        <v>61522.20498935</v>
      </c>
      <c r="D36" s="46">
        <f>IF(B36=0,"NM",(C36-B36)/ABS(B36))</f>
        <v>-0.33463391363085093</v>
      </c>
      <c r="E36" s="19" t="inlineStr">
        <is>
          <t xml:space="preserve">p.6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4678.712053560001</v>
      </c>
      <c r="C37" s="22">
        <v>3127.5949164099998</v>
      </c>
      <c r="D37" s="45">
        <f>IF(B37=0,"NM",(C37-B37)/ABS(B37))</f>
        <v>-0.33152652255437826</v>
      </c>
      <c r="E37" s="12" t="inlineStr">
        <is>
          <t xml:space="preserve">p.65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1721.16532714</v>
      </c>
      <c r="C38" s="22">
        <v>1893.3383119100001</v>
      </c>
      <c r="D38" s="45">
        <f>IF(B38=0,"NM",(C38-B38)/ABS(B38))</f>
        <v>0.1000327987411261</v>
      </c>
      <c r="E38" s="12" t="inlineStr">
        <is>
          <t xml:space="preserve">p.115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
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249.17005935</v>
      </c>
      <c r="C39" s="22">
        <v>289.61368299000003</v>
      </c>
      <c r="D39" s="45">
        <f>IF(B39=0,"NM",(C39-B39)/ABS(B39))</f>
        <v>0.16231333630334116</v>
      </c>
      <c r="E39" s="12" t="inlineStr">
        <is>
          <t xml:space="preserve">p.115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68.64</v>
      </c>
      <c r="C41" s="25">
        <v>65.66</v>
      </c>
      <c r="D41" s="45">
        <f>IF(B41=0,"NM",(C41-B41)/ABS(B41))</f>
        <v>-0.04341491841491847</v>
      </c>
      <c r="E41" s="12" t="inlineStr">
        <is>
          <t xml:space="preserve">p.6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基本每股收益（元／股）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0.3602</v>
      </c>
      <c r="C42" s="28">
        <v>0.32530000000000003</v>
      </c>
      <c r="D42" s="47">
        <f>(C42-B42)*100</f>
        <v>-3.4899999999999984</v>
      </c>
      <c r="E42" s="12" t="inlineStr">
        <is>
          <t xml:space="preserve">p.6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加权平均净资产收益率（</t>
          </r>
          <r>
            <rPr>
              <sz val="12"/>
              <rFont val="Arial"/>
              <family val="2"/>
            </rPr>
            <t xml:space="preserve">%</t>
          </r>
          <r>
            <rPr>
              <sz val="12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0.9193121663606456</v>
      </c>
      <c r="C43" s="13">
        <f>(C6-C7)/C6</f>
        <v>0.9117955168348008</v>
      </c>
      <c r="D43" s="47">
        <f>(C43-B43)*100</f>
        <v>-0.7516649525844854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0.5227335936777954</v>
      </c>
      <c r="C44" s="13">
        <f>C17/C6</f>
        <v>0.5052788651554344</v>
      </c>
      <c r="D44" s="47">
        <f>(C44-B44)*100</f>
        <v>-1.7454728522360963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0.19044755657916052</v>
      </c>
      <c r="C45" s="13">
        <f>C31/C27</f>
        <v>0.16415362192247623</v>
      </c>
      <c r="D45" s="47">
        <f>(C45-B45)*100</f>
        <v>-2.629393465668428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1.0723145052465903</v>
      </c>
      <c r="C46" s="16">
        <f>C36/C18</f>
        <v>0.747353678822432</v>
      </c>
      <c r="D46" s="45">
        <f>IF(B46=0,"NM",(C46-B46)/ABS(B46))</f>
        <v>-0.30304619105141184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1.5" customWidth="1"/>
    <col min="5" max="5" width="11.5" customWidth="1"/>
    <col min="6" max="6" width="12.5" customWidth="1"/>
    <col min="7" max="7" width="12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50600.95788578</v>
      </c>
      <c r="C5" s="22">
        <v>38788.396531059996</v>
      </c>
      <c r="D5" s="22">
        <v>39064.35323902</v>
      </c>
      <c r="E5" s="22">
        <v>40384.39485893</v>
      </c>
      <c r="F5" s="15">
        <f>SUM(B5:E5)</f>
        <v>168838.10251478996</v>
      </c>
      <c r="G5" s="22">
        <v>168838.10251479002</v>
      </c>
      <c r="H5" s="16">
        <f>ROUND(F5-G5,2)</f>
        <v>-0.0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26847.474238759998</v>
      </c>
      <c r="C6" s="22">
        <v>18555.48805934</v>
      </c>
      <c r="D6" s="22">
        <v>19223.78441408</v>
      </c>
      <c r="E6" s="22">
        <v>17693.3203895</v>
      </c>
      <c r="F6" s="15">
        <f>SUM(B6:E6)</f>
        <v>82320.06710167999</v>
      </c>
      <c r="G6" s="22">
        <v>82320.06710167999</v>
      </c>
      <c r="H6" s="16">
        <f>ROUND(F6-G6,2)</f>
        <v>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26849.883702900002</v>
      </c>
      <c r="C7" s="22">
        <v>18540.363920919997</v>
      </c>
      <c r="D7" s="22">
        <v>19290.36880738</v>
      </c>
      <c r="E7" s="22">
        <v>17612.491224049998</v>
      </c>
      <c r="F7" s="15">
        <f>SUM(B7:E7)</f>
        <v>82293.10765525</v>
      </c>
      <c r="G7" s="22">
        <v>82293.10765525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-2.4094641400032044</v>
      </c>
      <c r="C8" s="15">
        <f>C6-C7</f>
        <v>15.124138420001984</v>
      </c>
      <c r="D8" s="15">
        <f>D6-D7</f>
        <v>-66.58439329999923</v>
      </c>
      <c r="E8" s="15">
        <f>E6-E7</f>
        <v>80.82916545000076</v>
      </c>
      <c r="F8" s="15">
        <f>SUM(B8:E8)</f>
        <v>26.959446430000305</v>
      </c>
      <c r="G8" s="22">
        <v>26.95944643</v>
      </c>
      <c r="H8" s="16">
        <f>ROUND(F8-G8,2)</f>
        <v>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8809.19564638</v>
      </c>
      <c r="C9" s="22">
        <v>4309.86538495</v>
      </c>
      <c r="D9" s="22">
        <v>25077.74112394</v>
      </c>
      <c r="E9" s="22">
        <v>23325.402834080003</v>
      </c>
      <c r="F9" s="15">
        <f>SUM(B9:E9)</f>
        <v>61522.20498935</v>
      </c>
      <c r="G9" s="22">
        <v>61522.20498935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主营业务分产品（</t>
          </r>
          <r>
            <rPr>
              <b/>
              <sz val="12"/>
              <rFont val="Arial"/>
              <family val="2"/>
            </rPr>
            <t xml:space="preserve">p.18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G5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茅台酒</t>
          </r>
        </is>
      </c>
      <c r="B6" s="22">
        <v>146499.90648049</v>
      </c>
      <c r="C6" s="28">
        <v>0.0039000000000000003</v>
      </c>
      <c r="D6" s="22">
        <v>9484.75782554</v>
      </c>
      <c r="E6" s="28">
        <v>0.095</v>
      </c>
      <c r="F6" s="28">
        <v>0.9353</v>
      </c>
      <c r="G6" s="39">
        <v>-0.53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其他系列酒</t>
          </r>
        </is>
      </c>
      <c r="B7" s="22">
        <v>22274.67870716</v>
      </c>
      <c r="C7" s="28">
        <v>-0.09759999999999999</v>
      </c>
      <c r="D7" s="22">
        <v>5321.14231405</v>
      </c>
      <c r="E7" s="28">
        <v>0.0711</v>
      </c>
      <c r="F7" s="28">
        <v>0.7611</v>
      </c>
      <c r="G7" s="39">
        <v>-3.76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小计</t>
          </r>
        </is>
      </c>
      <c r="B8" s="22">
        <v>168774.58518765</v>
      </c>
      <c r="C8" s="28">
        <v>-0.0108</v>
      </c>
      <c r="D8" s="22">
        <v>14805.90013959</v>
      </c>
      <c r="E8" s="28">
        <v>0.0863</v>
      </c>
      <c r="F8" s="28">
        <v>0.9123</v>
      </c>
      <c r="G8" s="39">
        <v>-0.78</v>
      </c>
    </row>
    <row r="9" ht="20" customHeight="1">
      <c r="A9" s="31" t="inlineStr">
        <is>
          <r>
            <rPr>
              <b/>
              <sz val="12"/>
              <rFont val="KaiTi"/>
              <family val="2"/>
            </rPr>
            <t xml:space="preserve">主营业务分销售渠道（</t>
          </r>
          <r>
            <rPr>
              <b/>
              <sz val="12"/>
              <rFont val="Arial"/>
              <family val="2"/>
            </rPr>
            <t xml:space="preserve">p.18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" s="31"/>
      <c r="C9" s="31"/>
      <c r="D9" s="31"/>
      <c r="E9" s="31"/>
      <c r="F9" s="31"/>
      <c r="G9" s="31"/>
    </row>
    <row r="10" ht="36" customHeight="1">
      <c r="A1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0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10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E10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F10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G10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批发代理</t>
          </r>
        </is>
      </c>
      <c r="B11" s="22">
        <v>84231.55333302</v>
      </c>
      <c r="C11" s="28">
        <v>-0.12050000000000001</v>
      </c>
      <c r="D11" s="22">
        <v>10226.33144118</v>
      </c>
      <c r="E11" s="28">
        <v>0.0089</v>
      </c>
      <c r="F11" s="28">
        <v>0.8786</v>
      </c>
      <c r="G11" s="39">
        <v>-1.56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直销</t>
          </r>
        </is>
      </c>
      <c r="B12" s="22">
        <v>84543.03185463001</v>
      </c>
      <c r="C12" s="28">
        <v>0.12960000000000002</v>
      </c>
      <c r="D12" s="22">
        <v>4579.56869841</v>
      </c>
      <c r="E12" s="28">
        <v>0.3107</v>
      </c>
      <c r="F12" s="28">
        <v>0.9458</v>
      </c>
      <c r="G12" s="39">
        <v>-0.75</v>
      </c>
    </row>
    <row r="13" ht="20" customHeight="1">
      <c r="A13" s="31" t="inlineStr">
        <is>
          <r>
            <rPr>
              <b/>
              <sz val="12"/>
              <rFont val="KaiTi"/>
              <family val="2"/>
            </rPr>
            <t xml:space="preserve">主营业务分地区（</t>
          </r>
          <r>
            <rPr>
              <b/>
              <sz val="12"/>
              <rFont val="Arial"/>
              <family val="2"/>
            </rPr>
            <t xml:space="preserve">p.18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" s="31"/>
      <c r="C13" s="31"/>
      <c r="D13" s="31"/>
      <c r="E13" s="31"/>
      <c r="F13" s="31"/>
      <c r="G13" s="31"/>
    </row>
    <row r="14" ht="36" customHeight="1">
      <c r="A1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4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14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E14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F14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G14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毛利率同比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国内</t>
          </r>
        </is>
      </c>
      <c r="B15" s="22">
        <v>163924.44286497</v>
      </c>
      <c r="C15" s="28">
        <v>-0.0091</v>
      </c>
      <c r="D15" s="22">
        <v>14402.942526840001</v>
      </c>
      <c r="E15" s="28">
        <v>0.0889</v>
      </c>
      <c r="F15" s="28">
        <v>0.9120999999999999</v>
      </c>
      <c r="G15" s="39">
        <v>-0.79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国外</t>
          </r>
        </is>
      </c>
      <c r="B16" s="22">
        <v>4850.142322680001</v>
      </c>
      <c r="C16" s="28">
        <v>-0.0652</v>
      </c>
      <c r="D16" s="22">
        <v>402.95761275</v>
      </c>
      <c r="E16" s="28">
        <v>-0.0004</v>
      </c>
      <c r="F16" s="28">
        <v>0.9168999999999999</v>
      </c>
      <c r="G16" s="39">
        <v>-0.54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分产品产销量（</t>
          </r>
          <r>
            <rPr>
              <b/>
              <sz val="12"/>
              <rFont val="Arial"/>
              <family val="2"/>
            </rPr>
            <t xml:space="preserve">p.16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" s="31"/>
      <c r="C17" s="31"/>
      <c r="D17" s="31"/>
      <c r="E17" s="31"/>
      <c r="F17" s="31"/>
      <c r="G17" s="31"/>
    </row>
    <row r="18" ht="36" customHeight="1">
      <c r="A1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产量（吨）</t>
          </r>
        </is>
      </c>
      <c r="C18" s="3" t="inlineStr">
        <is>
          <r>
            <rPr>
              <b/>
              <sz val="12"/>
              <color rgb="FFFFFFFF"/>
              <rFont val="KaiTi"/>
              <family val="2"/>
            </rPr>
            <t xml:space="preserve">产量同比</t>
          </r>
        </is>
      </c>
      <c r="D18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销量（吨）</t>
          </r>
        </is>
      </c>
      <c r="E18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销量同比</t>
          </r>
        </is>
      </c>
      <c r="F18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销售收入（百万元）</t>
          </r>
        </is>
      </c>
      <c r="G18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销售收入同比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茅台酒</t>
          </r>
        </is>
      </c>
      <c r="B19" s="25">
        <v>58473.16</v>
      </c>
      <c r="C19" s="28">
        <v>0.0391</v>
      </c>
      <c r="D19" s="25">
        <v>46750.66</v>
      </c>
      <c r="E19" s="28">
        <v>0.0073</v>
      </c>
      <c r="F19" s="22">
        <v>146499.9065</v>
      </c>
      <c r="G19" s="28">
        <v>0.0039000000000000003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其他系列酒</t>
          </r>
        </is>
      </c>
      <c r="B20" s="25">
        <v>57650.57</v>
      </c>
      <c r="C20" s="28">
        <v>0.19820000000000002</v>
      </c>
      <c r="D20" s="25">
        <v>38353.48</v>
      </c>
      <c r="E20" s="28">
        <v>0.0388</v>
      </c>
      <c r="F20" s="22">
        <v>22274.6787</v>
      </c>
      <c r="G20" s="28">
        <v>-0.09759999999999999</v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分渠道收入与销量（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1" s="31"/>
      <c r="C21" s="31"/>
      <c r="D21" s="31"/>
      <c r="E21" s="31"/>
      <c r="F21" s="31"/>
      <c r="G21" s="31"/>
    </row>
    <row r="22" ht="36" customHeight="1">
      <c r="A2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2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本期销售收入（百万元）</t>
          </r>
        </is>
      </c>
      <c r="C22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上期销售收入（百万元）</t>
          </r>
        </is>
      </c>
      <c r="D22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本期销量（吨）</t>
          </r>
        </is>
      </c>
      <c r="E22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上期销量（吨）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直销</t>
          </r>
        </is>
      </c>
      <c r="B23" s="22">
        <v>84543.0319</v>
      </c>
      <c r="C23" s="22">
        <v>74843.3271</v>
      </c>
      <c r="D23" s="25">
        <v>21249.31</v>
      </c>
      <c r="E23" s="25">
        <v>18221.93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批发代理</t>
          </r>
        </is>
      </c>
      <c r="B24" s="22">
        <v>84231.5533</v>
      </c>
      <c r="C24" s="22">
        <v>95768.511</v>
      </c>
      <c r="D24" s="25">
        <v>63854.83</v>
      </c>
      <c r="E24" s="25">
        <v>65110.83</v>
      </c>
    </row>
    <row r="25" ht="20" customHeight="1">
      <c r="A25" s="31" t="inlineStr">
        <is>
          <r>
            <rPr>
              <b/>
              <sz val="12"/>
              <rFont val="KaiTi"/>
              <family val="2"/>
            </rPr>
            <t xml:space="preserve">线上销售（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5" s="31"/>
      <c r="C25" s="31"/>
      <c r="D25" s="31"/>
      <c r="E25" s="31"/>
      <c r="F25" s="31"/>
      <c r="G25" s="31"/>
    </row>
    <row r="26" ht="36" customHeight="1">
      <c r="A2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本期销售收入（百万元）</t>
          </r>
        </is>
      </c>
      <c r="C2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上期销售收入（百万元）</t>
          </r>
        </is>
      </c>
      <c r="D26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  <c r="E26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i</t>
          </r>
          <r>
            <rPr>
              <sz val="12"/>
              <rFont val="KaiTi"/>
              <family val="2"/>
            </rPr>
            <t xml:space="preserve">茅台数字营销平台</t>
          </r>
        </is>
      </c>
      <c r="B27" s="22">
        <v>13031.4115</v>
      </c>
      <c r="C27" s="22">
        <v>20023.6662</v>
      </c>
      <c r="D27" s="28">
        <v>-0.3492</v>
      </c>
      <c r="E27" s="28">
        <v>0.9447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其他线上平台</t>
          </r>
        </is>
      </c>
      <c r="B28" s="22">
        <v>406.195</v>
      </c>
      <c r="C28" s="22">
        <v>2095.6185</v>
      </c>
      <c r="D28" s="28">
        <v>-0.8062</v>
      </c>
      <c r="E28" s="28">
        <v>0.9481</v>
      </c>
    </row>
    <row r="29" ht="20" customHeight="1">
      <c r="A29" s="31" t="inlineStr">
        <is>
          <r>
            <rPr>
              <b/>
              <sz val="12"/>
              <rFont val="KaiTi"/>
              <family val="2"/>
            </rPr>
            <t xml:space="preserve">经销商数量（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9" s="31"/>
      <c r="C29" s="31"/>
      <c r="D29" s="31"/>
      <c r="E29" s="31"/>
      <c r="F29" s="31"/>
      <c r="G29" s="31"/>
    </row>
    <row r="30" ht="24" customHeight="1">
      <c r="A3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0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期末数量（个）</t>
          </r>
        </is>
      </c>
      <c r="C3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本期增加（个）</t>
          </r>
        </is>
      </c>
      <c r="D3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本期减少（个）</t>
          </r>
        </is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国内</t>
          </r>
        </is>
      </c>
      <c r="B31" s="48">
        <v>2353.0</v>
      </c>
      <c r="C31" s="48">
        <v>233.0</v>
      </c>
      <c r="D31" s="48">
        <v>23.0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国外</t>
          </r>
        </is>
      </c>
      <c r="B32" s="48">
        <v>126.0</v>
      </c>
      <c r="C32" s="48">
        <v>23.0</v>
      </c>
      <c r="D32" s="48">
        <v>1.0</v>
      </c>
    </row>
    <row r="33" ht="20" customHeight="1">
      <c r="A33" s="31" t="inlineStr">
        <is>
          <r>
            <rPr>
              <b/>
              <sz val="12"/>
              <rFont val="KaiTi"/>
              <family val="2"/>
            </rPr>
            <t xml:space="preserve">基酒产能（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3" s="31"/>
      <c r="C33" s="31"/>
      <c r="D33" s="31"/>
      <c r="E33" s="31"/>
      <c r="F33" s="31"/>
      <c r="G33" s="31"/>
    </row>
    <row r="34" ht="24" customHeight="1">
      <c r="A3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4" s="3" t="inlineStr">
        <is>
          <r>
            <rPr>
              <b/>
              <sz val="12"/>
              <color rgb="FFFFFFFF"/>
              <rFont val="KaiTi"/>
              <family val="2"/>
            </rPr>
            <t xml:space="preserve">设计产能（吨）</t>
          </r>
        </is>
      </c>
      <c r="C34" s="3" t="inlineStr">
        <is>
          <r>
            <rPr>
              <b/>
              <sz val="12"/>
              <color rgb="FFFFFFFF"/>
              <rFont val="KaiTi"/>
              <family val="2"/>
            </rPr>
            <t xml:space="preserve">实际产能（吨）</t>
          </r>
        </is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茅台酒制酒车间</t>
          </r>
        </is>
      </c>
      <c r="B35" s="25">
        <v>46395.0</v>
      </c>
      <c r="C35" s="25">
        <v>58473.16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系列酒制酒车间</t>
          </r>
        </is>
      </c>
      <c r="B36" s="25">
        <v>59400.0</v>
      </c>
      <c r="C36" s="25">
        <v>57650.57</v>
      </c>
    </row>
    <row r="37" ht="20" customHeight="1">
      <c r="A37" s="31" t="inlineStr">
        <is>
          <r>
            <rPr>
              <b/>
              <sz val="12"/>
              <rFont val="KaiTi"/>
              <family val="2"/>
            </rPr>
            <t xml:space="preserve">产品期末库存量（</t>
          </r>
          <r>
            <rPr>
              <b/>
              <sz val="12"/>
              <rFont val="Arial"/>
              <family val="2"/>
            </rPr>
            <t xml:space="preserve">p.16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7" s="31"/>
      <c r="C37" s="31"/>
      <c r="D37" s="31"/>
      <c r="E37" s="31"/>
      <c r="F37" s="31"/>
      <c r="G37" s="31"/>
    </row>
    <row r="38" ht="36" customHeight="1">
      <c r="A3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8" s="3" t="inlineStr">
        <is>
          <r>
            <rPr>
              <b/>
              <sz val="12"/>
              <color rgb="FFFFFFFF"/>
              <rFont val="KaiTi"/>
              <family val="2"/>
            </rPr>
            <t xml:space="preserve">成品酒（吨）</t>
          </r>
        </is>
      </c>
      <c r="C38" s="3" t="inlineStr">
        <is>
          <r>
            <rPr>
              <b/>
              <sz val="12"/>
              <color rgb="FFFFFFFF"/>
              <rFont val="KaiTi"/>
              <family val="2"/>
            </rPr>
            <t xml:space="preserve">半成品酒（含基础酒）（吨）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期末库存</t>
          </r>
        </is>
      </c>
      <c r="B39" s="25">
        <v>24770.35</v>
      </c>
      <c r="C39" s="25">
        <v>315207.51</v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现金分红（</t>
          </r>
          <r>
            <rPr>
              <b/>
              <sz val="12"/>
              <rFont val="Arial"/>
              <family val="2"/>
            </rPr>
            <t xml:space="preserve">p.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0" s="31"/>
      <c r="C40" s="31"/>
      <c r="D40" s="31"/>
      <c r="E40" s="31"/>
      <c r="F40" s="31"/>
      <c r="G40" s="31"/>
    </row>
    <row r="41" ht="24" customHeight="1">
      <c r="A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1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42" ht="20" customHeight="1">
      <c r="A42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年度累计现金分红</t>
          </r>
        </is>
      </c>
      <c r="B42" s="22">
        <v>65033.00000000001</v>
      </c>
    </row>
    <row r="43" ht="20" customHeight="1">
      <c r="A43" s="31" t="inlineStr">
        <is>
          <r>
            <rPr>
              <b/>
              <sz val="12"/>
              <rFont val="Arial"/>
              <family val="2"/>
            </rPr>
            <t xml:space="preserve">2025 </t>
          </r>
          <r>
            <rPr>
              <b/>
              <sz val="12"/>
              <rFont val="KaiTi"/>
              <family val="2"/>
            </rPr>
            <t xml:space="preserve">年年度每股派息（</t>
          </r>
          <r>
            <rPr>
              <b/>
              <sz val="12"/>
              <rFont val="Arial"/>
              <family val="2"/>
            </rPr>
            <t xml:space="preserve">p.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3" s="31"/>
      <c r="C43" s="31"/>
      <c r="D43" s="31"/>
      <c r="E43" s="31"/>
      <c r="F43" s="31"/>
      <c r="G43" s="31"/>
    </row>
    <row r="44" ht="36" customHeight="1">
      <c r="A4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每股派息（元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股）</t>
          </r>
        </is>
      </c>
    </row>
    <row r="45" ht="20" customHeight="1">
      <c r="A45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年年度利润分配</t>
          </r>
        </is>
      </c>
      <c r="B45" s="25">
        <v>27.993</v>
      </c>
    </row>
    <row r="46" ht="20" customHeight="1">
      <c r="A46" s="31" t="inlineStr">
        <is>
          <r>
            <rPr>
              <b/>
              <sz val="12"/>
              <rFont val="KaiTi"/>
              <family val="2"/>
            </rPr>
            <t xml:space="preserve">酒类产销存（</t>
          </r>
          <r>
            <rPr>
              <b/>
              <sz val="12"/>
              <rFont val="Arial"/>
              <family val="2"/>
            </rPr>
            <t xml:space="preserve">p.10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6" s="31"/>
      <c r="C46" s="31"/>
      <c r="D46" s="31"/>
      <c r="E46" s="31"/>
      <c r="F46" s="31"/>
      <c r="G46" s="31"/>
    </row>
    <row r="47" ht="24" customHeight="1">
      <c r="A4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7" s="3" t="inlineStr">
        <is>
          <r>
            <rPr>
              <b/>
              <sz val="12"/>
              <color rgb="FFFFFFFF"/>
              <rFont val="KaiTi"/>
              <family val="2"/>
            </rPr>
            <t xml:space="preserve">生产量（吨）</t>
          </r>
        </is>
      </c>
      <c r="C47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销售量（吨）</t>
          </r>
        </is>
      </c>
      <c r="D47" s="3" t="inlineStr">
        <is>
          <r>
            <rPr>
              <b/>
              <sz val="12"/>
              <color rgb="FFFFFFFF"/>
              <rFont val="KaiTi"/>
              <family val="2"/>
            </rPr>
            <t xml:space="preserve">库存量（吨）</t>
          </r>
        </is>
      </c>
      <c r="E47" s="3" t="inlineStr">
        <is>
          <r>
            <rPr>
              <b/>
              <sz val="12"/>
              <color rgb="FFFFFFFF"/>
              <rFont val="KaiTi"/>
              <family val="2"/>
            </rPr>
            <t xml:space="preserve">生产量同比</t>
          </r>
        </is>
      </c>
      <c r="F47" s="3" t="inlineStr">
        <is>
          <r>
            <rPr>
              <b/>
              <sz val="12"/>
              <color rgb="FFFFFFFF"/>
              <rFont val="KaiTi"/>
              <family val="2"/>
            </rPr>
            <t xml:space="preserve">销售量同比</t>
          </r>
        </is>
      </c>
      <c r="G47" s="3" t="inlineStr">
        <is>
          <r>
            <rPr>
              <b/>
              <sz val="12"/>
              <color rgb="FFFFFFFF"/>
              <rFont val="KaiTi"/>
              <family val="2"/>
            </rPr>
            <t xml:space="preserve">库存量同比</t>
          </r>
        </is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酒类</t>
          </r>
        </is>
      </c>
      <c r="B48" s="25">
        <v>116123.73</v>
      </c>
      <c r="C48" s="25">
        <v>85104.14</v>
      </c>
      <c r="D48" s="25">
        <v>339977.86</v>
      </c>
      <c r="E48" s="28">
        <v>0.1125</v>
      </c>
      <c r="F48" s="28">
        <v>0.0213</v>
      </c>
      <c r="G48" s="28">
        <v>0.0967</v>
      </c>
    </row>
    <row r="49" ht="20" customHeight="1">
      <c r="A49" s="31" t="inlineStr">
        <is>
          <r>
            <rPr>
              <b/>
              <sz val="12"/>
              <rFont val="KaiTi"/>
              <family val="2"/>
            </rPr>
            <t xml:space="preserve">酒类成本构成（</t>
          </r>
          <r>
            <rPr>
              <b/>
              <sz val="12"/>
              <rFont val="Arial"/>
              <family val="2"/>
            </rPr>
            <t xml:space="preserve">p.11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9" s="31"/>
      <c r="C49" s="31"/>
      <c r="D49" s="31"/>
      <c r="E49" s="31"/>
      <c r="F49" s="31"/>
      <c r="G49" s="31"/>
    </row>
    <row r="50" ht="36" customHeight="1">
      <c r="A5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5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本期占比</t>
          </r>
        </is>
      </c>
      <c r="D50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上期金额（百万元）</t>
          </r>
        </is>
      </c>
      <c r="E50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上期占比</t>
          </r>
        </is>
      </c>
      <c r="F50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直接材料</t>
          </r>
        </is>
      </c>
      <c r="B51" s="22">
        <v>7607.85893976</v>
      </c>
      <c r="C51" s="28">
        <v>0.5138</v>
      </c>
      <c r="D51" s="22">
        <v>6895.32042192</v>
      </c>
      <c r="E51" s="28">
        <v>0.5059</v>
      </c>
      <c r="F51" s="28">
        <v>0.1033</v>
      </c>
    </row>
    <row r="52" ht="20" customHeight="1">
      <c r="A52" s="12" t="inlineStr">
        <is>
          <r>
            <rPr>
              <sz val="12"/>
              <rFont val="KaiTi"/>
              <family val="2"/>
            </rPr>
            <t xml:space="preserve">直接人工</t>
          </r>
        </is>
      </c>
      <c r="B52" s="22">
        <v>5499.48211267</v>
      </c>
      <c r="C52" s="28">
        <v>0.3714</v>
      </c>
      <c r="D52" s="22">
        <v>5224.44848508</v>
      </c>
      <c r="E52" s="28">
        <v>0.3832</v>
      </c>
      <c r="F52" s="28">
        <v>0.0526</v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制造费用</t>
          </r>
        </is>
      </c>
      <c r="B53" s="22">
        <v>902.28239506</v>
      </c>
      <c r="C53" s="28">
        <v>0.061</v>
      </c>
      <c r="D53" s="22">
        <v>776.37389079</v>
      </c>
      <c r="E53" s="28">
        <v>0.057</v>
      </c>
      <c r="F53" s="28">
        <v>0.16219999999999998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燃料动力</t>
          </r>
        </is>
      </c>
      <c r="B54" s="22">
        <v>469.41030565</v>
      </c>
      <c r="C54" s="28">
        <v>0.0317</v>
      </c>
      <c r="D54" s="22">
        <v>422.32863452</v>
      </c>
      <c r="E54" s="28">
        <v>0.031</v>
      </c>
      <c r="F54" s="28">
        <v>0.1115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运输费</t>
          </r>
        </is>
      </c>
      <c r="B55" s="22">
        <v>326.86638645</v>
      </c>
      <c r="C55" s="28">
        <v>0.022099999999999998</v>
      </c>
      <c r="D55" s="22">
        <v>311.52438057999996</v>
      </c>
      <c r="E55" s="28">
        <v>0.0229</v>
      </c>
      <c r="F55" s="28">
        <v>0.0492</v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酒类营业成本</t>
          </r>
        </is>
      </c>
      <c r="B56" s="22">
        <v>14805.90013959</v>
      </c>
      <c r="C56" s="28">
        <v>1.0</v>
      </c>
      <c r="D56" s="22">
        <v>13629.99581289</v>
      </c>
      <c r="E56" s="28">
        <v>1.0</v>
      </c>
      <c r="F56" s="28">
        <v>0.0863</v>
      </c>
    </row>
    <row r="57" ht="20" customHeight="1">
      <c r="A57" s="31" t="inlineStr">
        <is>
          <r>
            <rPr>
              <b/>
              <sz val="12"/>
              <rFont val="KaiTi"/>
              <family val="2"/>
            </rPr>
            <t xml:space="preserve">原料采购金额（</t>
          </r>
          <r>
            <rPr>
              <b/>
              <sz val="12"/>
              <rFont val="Arial"/>
              <family val="2"/>
            </rPr>
            <t xml:space="preserve">p.16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7" s="31"/>
      <c r="C57" s="31"/>
      <c r="D57" s="31"/>
      <c r="E57" s="31"/>
      <c r="F57" s="31"/>
      <c r="G57" s="31"/>
    </row>
    <row r="58" ht="24" customHeight="1">
      <c r="A5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5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  <c r="D58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酿酒原材料</t>
          </r>
        </is>
      </c>
      <c r="B59" s="22">
        <v>3786.1953000000003</v>
      </c>
      <c r="C59" s="22">
        <v>3842.9051</v>
      </c>
      <c r="D59" s="28">
        <v>0.4138</v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包装材料</t>
          </r>
        </is>
      </c>
      <c r="B60" s="22">
        <v>4678.852</v>
      </c>
      <c r="C60" s="22">
        <v>4194.2177</v>
      </c>
      <c r="D60" s="28">
        <v>0.5114</v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能源</t>
          </r>
        </is>
      </c>
      <c r="B61" s="22">
        <v>502.4224</v>
      </c>
      <c r="C61" s="22">
        <v>423.2356</v>
      </c>
      <c r="D61" s="28">
        <v>0.054900000000000004</v>
      </c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车间辅助材料</t>
          </r>
        </is>
      </c>
      <c r="B62" s="22">
        <v>182.4568</v>
      </c>
      <c r="C62" s="22">
        <v>128.0632</v>
      </c>
      <c r="D62" s="28">
        <v>0.0199</v>
      </c>
    </row>
    <row r="63" ht="20" customHeight="1">
      <c r="A63" s="31" t="inlineStr">
        <is>
          <r>
            <rPr>
              <b/>
              <sz val="12"/>
              <rFont val="KaiTi"/>
              <family val="2"/>
            </rPr>
            <t xml:space="preserve">分区域收入与销量（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3" s="31"/>
      <c r="C63" s="31"/>
      <c r="D63" s="31"/>
      <c r="E63" s="31"/>
      <c r="F63" s="31"/>
      <c r="G63" s="31"/>
    </row>
    <row r="64" ht="36" customHeight="1">
      <c r="A6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本期销售收入（百万元）</t>
          </r>
        </is>
      </c>
      <c r="C6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上期销售收入（百万元）</t>
          </r>
        </is>
      </c>
      <c r="D64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收入占比</t>
          </r>
        </is>
      </c>
      <c r="E6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本期销量（吨）</t>
          </r>
        </is>
      </c>
      <c r="F6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上期销量（吨）</t>
          </r>
        </is>
      </c>
      <c r="G64" s="3" t="inlineStr">
        <is>
          <r>
            <rPr>
              <b/>
              <sz val="12"/>
              <color rgb="FFFFFFFF"/>
              <rFont val="KaiTi"/>
              <family val="2"/>
            </rPr>
            <t xml:space="preserve">销量占比</t>
          </r>
        </is>
      </c>
    </row>
    <row r="65" ht="20" customHeight="1">
      <c r="A65" s="12" t="inlineStr">
        <is>
          <r>
            <rPr>
              <sz val="12"/>
              <rFont val="KaiTi"/>
              <family val="2"/>
            </rPr>
            <t xml:space="preserve">国内</t>
          </r>
        </is>
      </c>
      <c r="B65" s="22">
        <v>163924.4429</v>
      </c>
      <c r="C65" s="22">
        <v>165423.3088</v>
      </c>
      <c r="D65" s="28">
        <v>0.9712999999999999</v>
      </c>
      <c r="E65" s="25">
        <v>83110.95</v>
      </c>
      <c r="F65" s="25">
        <v>81219.89</v>
      </c>
      <c r="G65" s="28">
        <v>0.9765999999999999</v>
      </c>
    </row>
    <row r="66" ht="20" customHeight="1">
      <c r="A66" s="12" t="inlineStr">
        <is>
          <r>
            <rPr>
              <sz val="12"/>
              <rFont val="KaiTi"/>
              <family val="2"/>
            </rPr>
            <t xml:space="preserve">国外</t>
          </r>
        </is>
      </c>
      <c r="B66" s="22">
        <v>4850.1423</v>
      </c>
      <c r="C66" s="22">
        <v>5188.5293</v>
      </c>
      <c r="D66" s="28">
        <v>0.0287</v>
      </c>
      <c r="E66" s="25">
        <v>1993.19</v>
      </c>
      <c r="F66" s="25">
        <v>2112.87</v>
      </c>
      <c r="G66" s="28">
        <v>0.023399999999999997</v>
      </c>
    </row>
    <row r="67" ht="20" customHeight="1">
      <c r="A67" s="31" t="inlineStr">
        <is>
          <r>
            <rPr>
              <b/>
              <sz val="12"/>
              <rFont val="KaiTi"/>
              <family val="2"/>
            </rPr>
            <t xml:space="preserve">新增基酒产能（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7" s="31"/>
      <c r="C67" s="31"/>
      <c r="D67" s="31"/>
      <c r="E67" s="31"/>
      <c r="F67" s="31"/>
      <c r="G67" s="31"/>
    </row>
    <row r="68" ht="36" customHeight="1">
      <c r="A6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8" s="3" t="inlineStr">
        <is>
          <r>
            <rPr>
              <b/>
              <sz val="12"/>
              <color rgb="FFFFFFFF"/>
              <rFont val="KaiTi"/>
              <family val="2"/>
            </rPr>
            <t xml:space="preserve">新增设计产能（吨）</t>
          </r>
        </is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茅台酒</t>
          </r>
        </is>
      </c>
      <c r="B69" s="25">
        <v>1800.0</v>
      </c>
    </row>
    <row r="70" ht="20" customHeight="1">
      <c r="A70" s="12" t="inlineStr">
        <is>
          <r>
            <rPr>
              <sz val="12"/>
              <rFont val="KaiTi"/>
              <family val="2"/>
            </rPr>
            <t xml:space="preserve">系列酒</t>
          </r>
        </is>
      </c>
      <c r="B70" s="25">
        <v>6940.0</v>
      </c>
    </row>
    <row r="71" ht="20" customHeight="1">
      <c r="A71" s="31" t="inlineStr">
        <is>
          <r>
            <rPr>
              <b/>
              <sz val="12"/>
              <rFont val="KaiTi"/>
              <family val="2"/>
            </rPr>
            <t xml:space="preserve">在建产能项目（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1" s="31"/>
      <c r="C71" s="31"/>
      <c r="D71" s="31"/>
      <c r="E71" s="31"/>
      <c r="F71" s="31"/>
      <c r="G71" s="31"/>
    </row>
    <row r="72" ht="36" customHeight="1">
      <c r="A7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2" s="3" t="inlineStr">
        <is>
          <r>
            <rPr>
              <b/>
              <sz val="12"/>
              <color rgb="FFFFFFFF"/>
              <rFont val="KaiTi"/>
              <family val="2"/>
            </rPr>
            <t xml:space="preserve">计划投资（百万元）</t>
          </r>
        </is>
      </c>
      <c r="C72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本期投资（百万元）</t>
          </r>
        </is>
      </c>
      <c r="D72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累计投资（百万元）</t>
          </r>
        </is>
      </c>
    </row>
    <row r="73" ht="20" customHeight="1">
      <c r="A73" s="12" t="inlineStr">
        <is>
          <r>
            <rPr>
              <sz val="12"/>
              <rFont val="Arial"/>
              <family val="2"/>
            </rPr>
            <t xml:space="preserve">3</t>
          </r>
          <r>
            <rPr>
              <sz val="12"/>
              <rFont val="KaiTi"/>
              <family val="2"/>
            </rPr>
            <t xml:space="preserve">万吨酱香系列酒技改工程及配套设施</t>
          </r>
        </is>
      </c>
      <c r="B73" s="22">
        <v>10180.0</v>
      </c>
      <c r="C73" s="22">
        <v>356.4258</v>
      </c>
      <c r="D73" s="22">
        <v>7077.1326</v>
      </c>
    </row>
    <row r="74" ht="20" customHeight="1">
      <c r="A74" s="12" t="inlineStr">
        <is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十四五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酱香酒习水同民坝一期</t>
          </r>
        </is>
      </c>
      <c r="B74" s="22">
        <v>4110.0</v>
      </c>
      <c r="C74" s="22">
        <v>485.2012</v>
      </c>
      <c r="D74" s="22">
        <v>2200.0539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茅台酒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十四五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技改建设</t>
          </r>
        </is>
      </c>
      <c r="B75" s="22">
        <v>15516.0</v>
      </c>
      <c r="C75" s="22">
        <v>660.6342</v>
      </c>
      <c r="D75" s="22">
        <v>2424.9496</v>
      </c>
    </row>
    <row r="76" ht="20" customHeight="1">
      <c r="A76" s="31" t="inlineStr">
        <is>
          <r>
            <rPr>
              <b/>
              <sz val="12"/>
              <rFont val="KaiTi"/>
              <family val="2"/>
            </rPr>
            <t xml:space="preserve">销售费用明细（</t>
          </r>
          <r>
            <rPr>
              <b/>
              <sz val="12"/>
              <rFont val="Arial"/>
              <family val="2"/>
            </rPr>
            <t xml:space="preserve">p.108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6" s="31"/>
      <c r="C76" s="31"/>
      <c r="D76" s="31"/>
      <c r="E76" s="31"/>
      <c r="F76" s="31"/>
      <c r="G76" s="31"/>
    </row>
    <row r="77" ht="24" customHeight="1">
      <c r="A7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7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77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广告宣传费</t>
          </r>
        </is>
      </c>
      <c r="B78" s="22">
        <v>1828.72879618</v>
      </c>
      <c r="C78" s="22">
        <v>1335.42720168</v>
      </c>
    </row>
    <row r="79" ht="20" customHeight="1">
      <c r="A79" s="12" t="inlineStr">
        <is>
          <r>
            <rPr>
              <sz val="12"/>
              <rFont val="KaiTi"/>
              <family val="2"/>
            </rPr>
            <t xml:space="preserve">市场推广及服务费</t>
          </r>
        </is>
      </c>
      <c r="B79" s="22">
        <v>4665.76218223</v>
      </c>
      <c r="C79" s="22">
        <v>3745.44052781</v>
      </c>
    </row>
    <row r="80" ht="20" customHeight="1">
      <c r="A80" s="12" t="inlineStr">
        <is>
          <r>
            <rPr>
              <sz val="12"/>
              <rFont val="KaiTi"/>
              <family val="2"/>
            </rPr>
            <t xml:space="preserve">营销办公及差旅费</t>
          </r>
        </is>
      </c>
      <c r="B80" s="22">
        <v>92.40681161</v>
      </c>
      <c r="C80" s="22">
        <v>89.97301037000001</v>
      </c>
    </row>
    <row r="81" ht="20" customHeight="1">
      <c r="A81" s="12" t="inlineStr">
        <is>
          <r>
            <rPr>
              <sz val="12"/>
              <rFont val="KaiTi"/>
              <family val="2"/>
            </rPr>
            <t xml:space="preserve">其他销售费用</t>
          </r>
        </is>
      </c>
      <c r="B81" s="22">
        <v>666.60181066</v>
      </c>
      <c r="C81" s="22">
        <v>468.45931963</v>
      </c>
    </row>
    <row r="82" ht="20" customHeight="1">
      <c r="A82" s="12" t="inlineStr">
        <is>
          <r>
            <rPr>
              <sz val="12"/>
              <rFont val="KaiTi"/>
              <family val="2"/>
            </rPr>
            <t xml:space="preserve">销售费用合计</t>
          </r>
        </is>
      </c>
      <c r="B82" s="22">
        <v>7253.49960068</v>
      </c>
      <c r="C82" s="22">
        <v>5639.3000594899995</v>
      </c>
    </row>
    <row r="83" ht="20" customHeight="1">
      <c r="A83" s="31" t="inlineStr">
        <is>
          <r>
            <rPr>
              <b/>
              <sz val="12"/>
              <rFont val="KaiTi"/>
              <family val="2"/>
            </rPr>
            <t xml:space="preserve">管理费用明细（</t>
          </r>
          <r>
            <rPr>
              <b/>
              <sz val="12"/>
              <rFont val="Arial"/>
              <family val="2"/>
            </rPr>
            <t xml:space="preserve">p.109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83" s="31"/>
      <c r="C83" s="31"/>
      <c r="D83" s="31"/>
      <c r="E83" s="31"/>
      <c r="F83" s="31"/>
      <c r="G83" s="31"/>
    </row>
    <row r="84" ht="24" customHeight="1">
      <c r="A8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4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84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85" ht="20" customHeight="1">
      <c r="A85" s="12" t="inlineStr">
        <is>
          <r>
            <rPr>
              <sz val="12"/>
              <rFont val="KaiTi"/>
              <family val="2"/>
            </rPr>
            <t xml:space="preserve">职工薪酬费用</t>
          </r>
        </is>
      </c>
      <c r="B85" s="22">
        <v>2804.10507493</v>
      </c>
      <c r="C85" s="22">
        <v>3697.4879106500002</v>
      </c>
    </row>
    <row r="86" ht="20" customHeight="1">
      <c r="A86" s="12" t="inlineStr">
        <is>
          <r>
            <rPr>
              <sz val="12"/>
              <rFont val="KaiTi"/>
              <family val="2"/>
            </rPr>
            <t xml:space="preserve">商标许可使用费</t>
          </r>
        </is>
      </c>
      <c r="B86" s="22">
        <v>2480.8985520300002</v>
      </c>
      <c r="C86" s="22">
        <v>2466.05224925</v>
      </c>
    </row>
    <row r="87" ht="20" customHeight="1">
      <c r="A87" s="12" t="inlineStr">
        <is>
          <r>
            <rPr>
              <sz val="12"/>
              <rFont val="KaiTi"/>
              <family val="2"/>
            </rPr>
            <t xml:space="preserve">固定资产折旧费用</t>
          </r>
        </is>
      </c>
      <c r="B87" s="22">
        <v>659.93480432</v>
      </c>
      <c r="C87" s="22">
        <v>612.9557268200001</v>
      </c>
    </row>
    <row r="88" ht="20" customHeight="1">
      <c r="A88" s="12" t="inlineStr">
        <is>
          <r>
            <rPr>
              <sz val="12"/>
              <rFont val="KaiTi"/>
              <family val="2"/>
            </rPr>
            <t xml:space="preserve">环境整治费</t>
          </r>
        </is>
      </c>
      <c r="B88" s="22">
        <v>157.80772212</v>
      </c>
      <c r="C88" s="22">
        <v>346.61013414</v>
      </c>
    </row>
    <row r="89" ht="20" customHeight="1">
      <c r="A8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  <c r="B89" s="22">
        <v>289.52152331</v>
      </c>
      <c r="C89" s="22">
        <v>249.16825935</v>
      </c>
    </row>
    <row r="90" ht="20" customHeight="1">
      <c r="A90" s="12" t="inlineStr">
        <is>
          <r>
            <rPr>
              <sz val="12"/>
              <rFont val="KaiTi"/>
              <family val="2"/>
            </rPr>
            <t xml:space="preserve">其他管理费用</t>
          </r>
        </is>
      </c>
      <c r="B90" s="22">
        <v>1436.8058353699998</v>
      </c>
      <c r="C90" s="22">
        <v>1434.0363654100001</v>
      </c>
    </row>
    <row r="91" ht="20" customHeight="1">
      <c r="A91" s="12" t="inlineStr">
        <is>
          <r>
            <rPr>
              <sz val="12"/>
              <rFont val="KaiTi"/>
              <family val="2"/>
            </rPr>
            <t xml:space="preserve">管理费用合计</t>
          </r>
        </is>
      </c>
      <c r="B91" s="22">
        <v>8320.06165966</v>
      </c>
      <c r="C91" s="22">
        <v>9315.65006038</v>
      </c>
    </row>
    <row r="92" ht="20" customHeight="1">
      <c r="A92" s="31" t="inlineStr">
        <is>
          <r>
            <rPr>
              <b/>
              <sz val="12"/>
              <rFont val="KaiTi"/>
              <family val="2"/>
            </rPr>
            <t xml:space="preserve">税金及附加明细（</t>
          </r>
          <r>
            <rPr>
              <b/>
              <sz val="12"/>
              <rFont val="Arial"/>
              <family val="2"/>
            </rPr>
            <t xml:space="preserve">p.108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2" s="31"/>
      <c r="C92" s="31"/>
      <c r="D92" s="31"/>
      <c r="E92" s="31"/>
      <c r="F92" s="31"/>
      <c r="G92" s="31"/>
    </row>
    <row r="93" ht="24" customHeight="1">
      <c r="A9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3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93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94" ht="20" customHeight="1">
      <c r="A94" s="12" t="inlineStr">
        <is>
          <r>
            <rPr>
              <sz val="12"/>
              <rFont val="KaiTi"/>
              <family val="2"/>
            </rPr>
            <t xml:space="preserve">消费税</t>
          </r>
        </is>
      </c>
      <c r="B94" s="22">
        <v>21797.39971132</v>
      </c>
      <c r="C94" s="22">
        <v>21489.51309084</v>
      </c>
    </row>
    <row r="95" ht="20" customHeight="1">
      <c r="A95" s="12" t="inlineStr">
        <is>
          <r>
            <rPr>
              <sz val="12"/>
              <rFont val="KaiTi"/>
              <family val="2"/>
            </rPr>
            <t xml:space="preserve">城市维护建设税</t>
          </r>
        </is>
      </c>
      <c r="B95" s="22">
        <v>2959.58830488</v>
      </c>
      <c r="C95" s="22">
        <v>2922.7549878600003</v>
      </c>
    </row>
    <row r="96" ht="20" customHeight="1">
      <c r="A96" s="12" t="inlineStr">
        <is>
          <r>
            <rPr>
              <sz val="12"/>
              <rFont val="KaiTi"/>
              <family val="2"/>
            </rPr>
            <t xml:space="preserve">教育费附加</t>
          </r>
        </is>
      </c>
      <c r="B96" s="22">
        <v>1268.43134507</v>
      </c>
      <c r="C96" s="22">
        <v>1252.60928052</v>
      </c>
    </row>
    <row r="97" ht="20" customHeight="1">
      <c r="A97" s="12" t="inlineStr">
        <is>
          <r>
            <rPr>
              <sz val="12"/>
              <rFont val="KaiTi"/>
              <family val="2"/>
            </rPr>
            <t xml:space="preserve">地方教育费附加</t>
          </r>
        </is>
      </c>
      <c r="B97" s="22">
        <v>845.59665837</v>
      </c>
      <c r="C97" s="22">
        <v>835.07285337</v>
      </c>
    </row>
    <row r="98" ht="20" customHeight="1">
      <c r="A98" s="12" t="inlineStr">
        <is>
          <r>
            <rPr>
              <sz val="12"/>
              <rFont val="KaiTi"/>
              <family val="2"/>
            </rPr>
            <t xml:space="preserve">税金及附加合计</t>
          </r>
        </is>
      </c>
      <c r="B98" s="22">
        <v>27354.22768488</v>
      </c>
      <c r="C98" s="22">
        <v>26926.16147499</v>
      </c>
    </row>
    <row r="99" ht="20" customHeight="1">
      <c r="A99" s="31" t="inlineStr">
        <is>
          <r>
            <rPr>
              <b/>
              <sz val="12"/>
              <rFont val="KaiTi"/>
              <family val="2"/>
            </rPr>
            <t xml:space="preserve">存货构成（账面价值）（</t>
          </r>
          <r>
            <rPr>
              <b/>
              <sz val="12"/>
              <rFont val="Arial"/>
              <family val="2"/>
            </rPr>
            <t xml:space="preserve">p.91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9" s="31"/>
      <c r="C99" s="31"/>
      <c r="D99" s="31"/>
      <c r="E99" s="31"/>
      <c r="F99" s="31"/>
      <c r="G99" s="31"/>
    </row>
    <row r="100" ht="24" customHeight="1">
      <c r="A10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0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00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01" ht="20" customHeight="1">
      <c r="A101" s="12" t="inlineStr">
        <is>
          <r>
            <rPr>
              <sz val="12"/>
              <rFont val="KaiTi"/>
              <family val="2"/>
            </rPr>
            <t xml:space="preserve">原材料</t>
          </r>
        </is>
      </c>
      <c r="B101" s="22">
        <v>3738.45130998</v>
      </c>
      <c r="C101" s="22">
        <v>3095.75989727</v>
      </c>
    </row>
    <row r="102" ht="20" customHeight="1">
      <c r="A102" s="12" t="inlineStr">
        <is>
          <r>
            <rPr>
              <sz val="12"/>
              <rFont val="KaiTi"/>
              <family val="2"/>
            </rPr>
            <t xml:space="preserve">在产品</t>
          </r>
        </is>
      </c>
      <c r="B102" s="22">
        <v>25663.36821666</v>
      </c>
      <c r="C102" s="22">
        <v>24680.12207798</v>
      </c>
    </row>
    <row r="103" ht="20" customHeight="1">
      <c r="A103" s="12" t="inlineStr">
        <is>
          <r>
            <rPr>
              <sz val="12"/>
              <rFont val="KaiTi"/>
              <family val="2"/>
            </rPr>
            <t xml:space="preserve">库存商品</t>
          </r>
        </is>
      </c>
      <c r="B103" s="22">
        <v>4506.7716684</v>
      </c>
      <c r="C103" s="22">
        <v>2980.87189439</v>
      </c>
    </row>
    <row r="104" ht="20" customHeight="1">
      <c r="A104" s="12" t="inlineStr">
        <is>
          <r>
            <rPr>
              <sz val="12"/>
              <rFont val="KaiTi"/>
              <family val="2"/>
            </rPr>
            <t xml:space="preserve">自制半成品</t>
          </r>
        </is>
      </c>
      <c r="B104" s="22">
        <v>27518.830601139998</v>
      </c>
      <c r="C104" s="22">
        <v>23586.531287830003</v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存货合计</t>
          </r>
        </is>
      </c>
      <c r="B105" s="22">
        <v>61427.42179618</v>
      </c>
      <c r="C105" s="22">
        <v>54343.28515747</v>
      </c>
    </row>
    <row r="106" ht="20" customHeight="1">
      <c r="A106" s="31" t="inlineStr">
        <is>
          <r>
            <rPr>
              <b/>
              <sz val="12"/>
              <rFont val="KaiTi"/>
              <family val="2"/>
            </rPr>
            <t xml:space="preserve">主要子公司（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6" s="31"/>
      <c r="C106" s="31"/>
      <c r="D106" s="31"/>
      <c r="E106" s="31"/>
      <c r="F106" s="31"/>
      <c r="G106" s="31"/>
    </row>
    <row r="107" ht="36" customHeight="1">
      <c r="A10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7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总资产（百万元）</t>
          </r>
        </is>
      </c>
      <c r="C107" s="3" t="inlineStr">
        <is>
          <r>
            <rPr>
              <b/>
              <sz val="12"/>
              <color rgb="FFFFFFFF"/>
              <rFont val="KaiTi"/>
              <family val="2"/>
            </rPr>
            <t xml:space="preserve">净资产（百万元）</t>
          </r>
        </is>
      </c>
      <c r="D107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E107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营业利润（百万元）</t>
          </r>
        </is>
      </c>
      <c r="F107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</row>
    <row r="108" ht="20" customHeight="1">
      <c r="A108" s="12" t="inlineStr">
        <is>
          <r>
            <rPr>
              <sz val="12"/>
              <rFont val="KaiTi"/>
              <family val="2"/>
            </rPr>
            <t xml:space="preserve">贵州茅台酒销售有限公司</t>
          </r>
        </is>
      </c>
      <c r="B108" s="22">
        <v>83995.9803</v>
      </c>
      <c r="C108" s="22">
        <v>63581.83809999999</v>
      </c>
      <c r="D108" s="22">
        <v>141612.9355</v>
      </c>
      <c r="E108" s="22">
        <v>63224.5689</v>
      </c>
      <c r="F108" s="22">
        <v>47228.3576</v>
      </c>
    </row>
    <row r="109" ht="20" customHeight="1">
      <c r="A109" s="12" t="inlineStr">
        <is>
          <r>
            <rPr>
              <sz val="12"/>
              <rFont val="KaiTi"/>
              <family val="2"/>
            </rPr>
            <t xml:space="preserve">贵州茅台酱香酒营销有限公司</t>
          </r>
        </is>
      </c>
      <c r="B109" s="22">
        <v>23244.2218</v>
      </c>
      <c r="C109" s="22">
        <v>17330.9935</v>
      </c>
      <c r="D109" s="22">
        <v>22308.9056</v>
      </c>
      <c r="E109" s="22">
        <v>6871.4314</v>
      </c>
      <c r="F109" s="22">
        <v>4908.3911</v>
      </c>
    </row>
    <row r="110" ht="20" customHeight="1">
      <c r="A110" s="31" t="inlineStr">
        <is>
          <r>
            <rPr>
              <b/>
              <sz val="12"/>
              <rFont val="KaiTi"/>
              <family val="2"/>
            </rPr>
            <t xml:space="preserve">主要资产项目（</t>
          </r>
          <r>
            <rPr>
              <b/>
              <sz val="12"/>
              <rFont val="Arial"/>
              <family val="2"/>
            </rPr>
            <t xml:space="preserve">p.14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0" s="31"/>
      <c r="C110" s="31"/>
      <c r="D110" s="31"/>
      <c r="E110" s="31"/>
      <c r="F110" s="31"/>
      <c r="G110" s="31"/>
    </row>
    <row r="111" ht="24" customHeight="1">
      <c r="A11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1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11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期末占总资产</t>
          </r>
        </is>
      </c>
      <c r="D111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  <c r="E111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期初占总资产</t>
          </r>
        </is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112" s="22">
        <v>51690.6109465</v>
      </c>
      <c r="C112" s="28">
        <v>0.17010000000000003</v>
      </c>
      <c r="D112" s="22">
        <v>59295.82295689</v>
      </c>
      <c r="E112" s="28">
        <v>0.1984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拆出资金</t>
          </r>
        </is>
      </c>
      <c r="B113" s="22">
        <v>99096.18805975</v>
      </c>
      <c r="C113" s="28">
        <v>0.3262</v>
      </c>
      <c r="D113" s="22">
        <v>127187.29329817</v>
      </c>
      <c r="E113" s="28">
        <v>0.4255</v>
      </c>
    </row>
    <row r="114" ht="20" customHeight="1">
      <c r="A11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114" s="22">
        <v>61427.42179618</v>
      </c>
      <c r="C114" s="28">
        <v>0.2022</v>
      </c>
      <c r="D114" s="22">
        <v>54343.28515747</v>
      </c>
      <c r="E114" s="28">
        <v>0.1818</v>
      </c>
    </row>
    <row r="115" ht="20" customHeight="1">
      <c r="A115" s="12" t="inlineStr">
        <is>
          <r>
            <rPr>
              <sz val="12"/>
              <rFont val="KaiTi"/>
              <family val="2"/>
            </rPr>
            <t xml:space="preserve">一年内到期的非流动资产</t>
          </r>
        </is>
      </c>
      <c r="B115" s="22">
        <v>26871.11461271</v>
      </c>
      <c r="C115" s="28">
        <v>0.08839999999999999</v>
      </c>
      <c r="D115" s="22">
        <v>1210.95980342</v>
      </c>
      <c r="E115" s="28">
        <v>0.0040999999999999995</v>
      </c>
    </row>
    <row r="116" ht="20" customHeight="1">
      <c r="A116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  <c r="B116" s="22">
        <v>22488.12230435</v>
      </c>
      <c r="C116" s="28">
        <v>0.07400000000000001</v>
      </c>
      <c r="D116" s="22">
        <v>21871.44674714</v>
      </c>
      <c r="E116" s="28">
        <v>0.0732</v>
      </c>
    </row>
    <row r="117" ht="20" customHeight="1">
      <c r="A117" s="31" t="inlineStr">
        <is>
          <r>
            <rPr>
              <b/>
              <sz val="12"/>
              <rFont val="KaiTi"/>
              <family val="2"/>
            </rPr>
            <t xml:space="preserve">现金流量主要变动项目（</t>
          </r>
          <r>
            <rPr>
              <b/>
              <sz val="12"/>
              <rFont val="Arial"/>
              <family val="2"/>
            </rPr>
            <t xml:space="preserve">p.13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7" s="31"/>
      <c r="C117" s="31"/>
      <c r="D117" s="31"/>
      <c r="E117" s="31"/>
      <c r="F117" s="31"/>
      <c r="G117" s="31"/>
    </row>
    <row r="118" ht="24" customHeight="1">
      <c r="A11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8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18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客户存款和同业存放款项净增加额</t>
          </r>
        </is>
      </c>
      <c r="B119" s="22">
        <v>-5099.27196687</v>
      </c>
      <c r="C119" s="22">
        <v>11060.2057821</v>
      </c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存放中央银行和同业款项净增加额</t>
          </r>
        </is>
      </c>
      <c r="B120" s="22">
        <v>12847.26586672</v>
      </c>
      <c r="C120" s="22">
        <v>-4585.24564629</v>
      </c>
    </row>
    <row r="121" ht="20" customHeight="1">
      <c r="A121" s="12" t="inlineStr">
        <is>
          <r>
            <rPr>
              <sz val="12"/>
              <rFont val="KaiTi"/>
              <family val="2"/>
            </rPr>
            <t xml:space="preserve">投资支付的现金</t>
          </r>
        </is>
      </c>
      <c r="B121" s="22">
        <v>62097.0</v>
      </c>
      <c r="C121" s="22">
        <v>5745.136</v>
      </c>
    </row>
    <row r="122" ht="20" customHeight="1">
      <c r="A122" s="12" t="inlineStr">
        <is>
          <r>
            <rPr>
              <sz val="12"/>
              <rFont val="KaiTi"/>
              <family val="2"/>
            </rPr>
            <t xml:space="preserve">收回投资收到的现金</t>
          </r>
        </is>
      </c>
      <c r="B122" s="22">
        <v>33455.136</v>
      </c>
      <c r="C122" s="22">
        <v>8550.0</v>
      </c>
    </row>
    <row r="123" ht="20" customHeight="1">
      <c r="A123" s="12" t="inlineStr">
        <is>
          <r>
            <rPr>
              <sz val="12"/>
              <rFont val="KaiTi"/>
              <family val="2"/>
            </rPr>
            <t xml:space="preserve">购建固定资产等支付的现金</t>
          </r>
        </is>
      </c>
      <c r="B123" s="22">
        <v>3127.5949164099998</v>
      </c>
      <c r="C123" s="22">
        <v>4678.712053560001</v>
      </c>
    </row>
    <row r="124" ht="20" customHeight="1">
      <c r="A124" s="12" t="inlineStr">
        <is>
          <r>
            <rPr>
              <sz val="12"/>
              <rFont val="KaiTi"/>
              <family val="2"/>
            </rPr>
            <t xml:space="preserve">支付其他与筹资活动有关的现金</t>
          </r>
        </is>
      </c>
      <c r="B124" s="22">
        <v>6185.34786342</v>
      </c>
      <c r="C124" s="22">
        <v>116.47878187</v>
      </c>
    </row>
    <row r="125" ht="20" customHeight="1">
      <c r="A125" s="31" t="inlineStr">
        <is>
          <r>
            <rPr>
              <b/>
              <sz val="12"/>
              <rFont val="KaiTi"/>
              <family val="2"/>
            </rPr>
            <t xml:space="preserve">三类现金流量净额（</t>
          </r>
          <r>
            <rPr>
              <b/>
              <sz val="12"/>
              <rFont val="Arial"/>
              <family val="2"/>
            </rPr>
            <t xml:space="preserve">p.9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25" s="31"/>
      <c r="C125" s="31"/>
      <c r="D125" s="31"/>
      <c r="E125" s="31"/>
      <c r="F125" s="31"/>
      <c r="G125" s="31"/>
    </row>
    <row r="126" ht="24" customHeight="1">
      <c r="A12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本期（百万元）</t>
          </r>
        </is>
      </c>
      <c r="C12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上期（百万元）</t>
          </r>
        </is>
      </c>
    </row>
    <row r="127" ht="20" customHeight="1">
      <c r="A127" s="12" t="inlineStr">
        <is>
          <r>
            <rPr>
              <sz val="12"/>
              <rFont val="KaiTi"/>
              <family val="2"/>
            </rPr>
            <t xml:space="preserve">经营活动现金流量净额</t>
          </r>
        </is>
      </c>
      <c r="B127" s="22">
        <v>61522.20498935</v>
      </c>
      <c r="C127" s="22">
        <v>92463.69216842999</v>
      </c>
    </row>
    <row r="128" ht="20" customHeight="1">
      <c r="A128" s="12" t="inlineStr">
        <is>
          <r>
            <rPr>
              <sz val="12"/>
              <rFont val="KaiTi"/>
              <family val="2"/>
            </rPr>
            <t xml:space="preserve">投资活动现金流量净额</t>
          </r>
        </is>
      </c>
      <c r="B128" s="22">
        <v>-31641.89894889</v>
      </c>
      <c r="C128" s="22">
        <v>-1785.20263071</v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筹资活动现金流量净额</t>
          </r>
        </is>
      </c>
      <c r="B129" s="22">
        <v>-73427.08120886999</v>
      </c>
      <c r="C129" s="22">
        <v>-71067.50648481</v>
      </c>
    </row>
    <row r="130" ht="20" customHeight="1">
      <c r="A130" s="31" t="inlineStr">
        <is>
          <r>
            <rPr>
              <b/>
              <sz val="12"/>
              <rFont val="Arial"/>
              <family val="2"/>
            </rPr>
            <t xml:space="preserve">2025 </t>
          </r>
          <r>
            <rPr>
              <b/>
              <sz val="12"/>
              <rFont val="KaiTi"/>
              <family val="2"/>
            </rPr>
            <t xml:space="preserve">年度利润分配（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0" s="31"/>
      <c r="C130" s="31"/>
      <c r="D130" s="31"/>
      <c r="E130" s="31"/>
      <c r="F130" s="31"/>
      <c r="G130" s="31"/>
    </row>
    <row r="131" ht="24" customHeight="1">
      <c r="A13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1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32" ht="20" customHeight="1">
      <c r="A132" s="12" t="inlineStr">
        <is>
          <r>
            <rPr>
              <sz val="12"/>
              <rFont val="KaiTi"/>
              <family val="2"/>
            </rPr>
            <t xml:space="preserve">年度现金分红</t>
          </r>
        </is>
      </c>
      <c r="B132" s="22">
        <v>35032.568759730006</v>
      </c>
    </row>
    <row r="133" ht="20" customHeight="1">
      <c r="A133" s="12" t="inlineStr">
        <is>
          <r>
            <rPr>
              <sz val="12"/>
              <rFont val="KaiTi"/>
              <family val="2"/>
            </rPr>
            <t xml:space="preserve">回购计入现金分红</t>
          </r>
        </is>
      </c>
      <c r="B133" s="22">
        <v>6120.08896004</v>
      </c>
    </row>
    <row r="134" ht="20" customHeight="1">
      <c r="A134" s="12" t="inlineStr">
        <is>
          <r>
            <rPr>
              <sz val="12"/>
              <rFont val="KaiTi"/>
              <family val="2"/>
            </rPr>
            <t xml:space="preserve">合计分红金额</t>
          </r>
        </is>
      </c>
      <c r="B134" s="22">
        <v>71153.29526053</v>
      </c>
    </row>
    <row r="135" ht="20" customHeight="1">
      <c r="A135" s="31" t="inlineStr">
        <is>
          <r>
            <rPr>
              <b/>
              <sz val="12"/>
              <rFont val="Arial"/>
              <family val="2"/>
            </rPr>
            <t xml:space="preserve">2025 </t>
          </r>
          <r>
            <rPr>
              <b/>
              <sz val="12"/>
              <rFont val="KaiTi"/>
              <family val="2"/>
            </rPr>
            <t xml:space="preserve">年度分红比例（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5" s="31"/>
      <c r="C135" s="31"/>
      <c r="D135" s="31"/>
      <c r="E135" s="31"/>
      <c r="F135" s="31"/>
      <c r="G135" s="31"/>
    </row>
    <row r="136" ht="24" customHeight="1">
      <c r="A13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36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37" ht="20" customHeight="1">
      <c r="A137" s="12" t="inlineStr">
        <is>
          <r>
            <rPr>
              <sz val="12"/>
              <rFont val="KaiTi"/>
              <family val="2"/>
            </rPr>
            <t xml:space="preserve">年度现金分红占归母净利润</t>
          </r>
        </is>
      </c>
      <c r="B137" s="28">
        <v>0.42560000000000003</v>
      </c>
    </row>
    <row r="138" ht="20" customHeight="1">
      <c r="A138" s="12" t="inlineStr">
        <is>
          <r>
            <rPr>
              <sz val="12"/>
              <rFont val="KaiTi"/>
              <family val="2"/>
            </rPr>
            <t xml:space="preserve">合计分红占归母净利润</t>
          </r>
        </is>
      </c>
      <c r="B138" s="28">
        <v>0.8643000000000001</v>
      </c>
    </row>
    <row r="139" ht="20" customHeight="1">
      <c r="A139" s="31" t="inlineStr">
        <is>
          <r>
            <rPr>
              <b/>
              <sz val="12"/>
              <rFont val="Arial"/>
              <family val="2"/>
            </rPr>
            <t xml:space="preserve">2025 </t>
          </r>
          <r>
            <rPr>
              <b/>
              <sz val="12"/>
              <rFont val="KaiTi"/>
              <family val="2"/>
            </rPr>
            <t xml:space="preserve">年中期分红（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39" s="31"/>
      <c r="C139" s="31"/>
      <c r="D139" s="31"/>
      <c r="E139" s="31"/>
      <c r="F139" s="31"/>
      <c r="G139" s="31"/>
    </row>
    <row r="140" ht="24" customHeight="1">
      <c r="A14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0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41" ht="20" customHeight="1">
      <c r="A141" s="12" t="inlineStr">
        <is>
          <r>
            <rPr>
              <sz val="12"/>
              <rFont val="KaiTi"/>
              <family val="2"/>
            </rPr>
            <t xml:space="preserve">中期现金分红</t>
          </r>
        </is>
      </c>
      <c r="B141" s="22">
        <v>30001.0</v>
      </c>
    </row>
    <row r="142" ht="20" customHeight="1">
      <c r="A142" s="31" t="inlineStr">
        <is>
          <r>
            <rPr>
              <b/>
              <sz val="12"/>
              <rFont val="KaiTi"/>
              <family val="2"/>
            </rPr>
            <t xml:space="preserve">每 </t>
          </r>
          <r>
            <rPr>
              <b/>
              <sz val="12"/>
              <rFont val="Arial"/>
              <family val="2"/>
            </rPr>
            <t xml:space="preserve">10 </t>
          </r>
          <r>
            <rPr>
              <b/>
              <sz val="12"/>
              <rFont val="KaiTi"/>
              <family val="2"/>
            </rPr>
            <t xml:space="preserve">股派息（</t>
          </r>
          <r>
            <rPr>
              <b/>
              <sz val="12"/>
              <rFont val="Arial"/>
              <family val="2"/>
            </rPr>
            <t xml:space="preserve">p.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2" s="31"/>
      <c r="C142" s="31"/>
      <c r="D142" s="31"/>
      <c r="E142" s="31"/>
      <c r="F142" s="31"/>
      <c r="G142" s="31"/>
    </row>
    <row r="143" ht="36" customHeight="1">
      <c r="A14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3" s="3" t="inlineStr">
        <is>
          <r>
            <rPr>
              <b/>
              <sz val="12"/>
              <color rgb="FFFFFFFF"/>
              <rFont val="KaiTi"/>
              <family val="2"/>
            </rPr>
            <t xml:space="preserve">每</t>
          </r>
          <r>
            <rPr>
              <b/>
              <sz val="12"/>
              <color rgb="FFFFFFFF"/>
              <rFont val="Arial"/>
              <family val="2"/>
            </rPr>
            <t xml:space="preserve">10</t>
          </r>
          <r>
            <rPr>
              <b/>
              <sz val="12"/>
              <color rgb="FFFFFFFF"/>
              <rFont val="KaiTi"/>
              <family val="2"/>
            </rPr>
            <t xml:space="preserve">股派息（元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股）</t>
          </r>
        </is>
      </c>
    </row>
    <row r="144" ht="20" customHeight="1">
      <c r="A144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年年度</t>
          </r>
        </is>
      </c>
      <c r="B144" s="25">
        <v>276.24</v>
      </c>
    </row>
    <row r="145" ht="20" customHeight="1">
      <c r="A145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年中期</t>
          </r>
        </is>
      </c>
      <c r="B145" s="25">
        <v>239.57</v>
      </c>
    </row>
    <row r="146" ht="20" customHeight="1">
      <c r="A146" s="12" t="inlineStr">
        <is>
          <r>
            <rPr>
              <sz val="12"/>
              <rFont val="Arial"/>
              <family val="2"/>
            </rPr>
            <t xml:space="preserve">2025</t>
          </r>
          <r>
            <rPr>
              <sz val="12"/>
              <rFont val="KaiTi"/>
              <family val="2"/>
            </rPr>
            <t xml:space="preserve">年年度</t>
          </r>
        </is>
      </c>
      <c r="B146" s="25">
        <v>279.93</v>
      </c>
    </row>
    <row r="147" ht="20" customHeight="1">
      <c r="A147" s="31" t="inlineStr">
        <is>
          <r>
            <rPr>
              <b/>
              <sz val="12"/>
              <rFont val="KaiTi"/>
              <family val="2"/>
            </rPr>
            <t xml:space="preserve">最近三个会计年度股东回报（</t>
          </r>
          <r>
            <rPr>
              <b/>
              <sz val="12"/>
              <rFont val="Arial"/>
              <family val="2"/>
            </rPr>
            <t xml:space="preserve">p.33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7" s="31"/>
      <c r="C147" s="31"/>
      <c r="D147" s="31"/>
      <c r="E147" s="31"/>
      <c r="F147" s="31"/>
      <c r="G147" s="31"/>
    </row>
    <row r="148" ht="24" customHeight="1">
      <c r="A14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48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49" ht="20" customHeight="1">
      <c r="A149" s="12" t="inlineStr">
        <is>
          <r>
            <rPr>
              <sz val="12"/>
              <rFont val="KaiTi"/>
              <family val="2"/>
            </rPr>
            <t xml:space="preserve">累计现金分红</t>
          </r>
        </is>
      </c>
      <c r="B149" s="22">
        <v>190008.93477295002</v>
      </c>
    </row>
    <row r="150" ht="20" customHeight="1">
      <c r="A150" s="12" t="inlineStr">
        <is>
          <r>
            <rPr>
              <sz val="12"/>
              <rFont val="KaiTi"/>
              <family val="2"/>
            </rPr>
            <t xml:space="preserve">累计回购并注销</t>
          </r>
        </is>
      </c>
      <c r="B150" s="22">
        <v>5999.98596695</v>
      </c>
    </row>
    <row r="151" ht="20" customHeight="1">
      <c r="A151" s="12" t="inlineStr">
        <is>
          <r>
            <rPr>
              <sz val="12"/>
              <rFont val="KaiTi"/>
              <family val="2"/>
            </rPr>
            <t xml:space="preserve">分红与回购合计</t>
          </r>
        </is>
      </c>
      <c r="B151" s="22">
        <v>196008.9207399</v>
      </c>
    </row>
    <row r="152" ht="20" customHeight="1">
      <c r="A152" s="12" t="inlineStr">
        <is>
          <r>
            <rPr>
              <sz val="12"/>
              <rFont val="KaiTi"/>
              <family val="2"/>
            </rPr>
            <t xml:space="preserve">年均净利润</t>
          </r>
        </is>
      </c>
      <c r="B152" s="22">
        <v>84055.50971246</v>
      </c>
    </row>
    <row r="153" ht="20" customHeight="1">
      <c r="A153" s="31" t="inlineStr">
        <is>
          <r>
            <rPr>
              <b/>
              <sz val="12"/>
              <rFont val="KaiTi"/>
              <family val="2"/>
            </rPr>
            <t xml:space="preserve">股份回购（</t>
          </r>
          <r>
            <rPr>
              <b/>
              <sz val="12"/>
              <rFont val="Arial"/>
              <family val="2"/>
            </rPr>
            <t xml:space="preserve">p.47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3" s="31"/>
      <c r="C153" s="31"/>
      <c r="D153" s="31"/>
      <c r="E153" s="31"/>
      <c r="F153" s="31"/>
      <c r="G153" s="31"/>
    </row>
    <row r="154" ht="24" customHeight="1">
      <c r="A15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数量（百万元）</t>
          </r>
        </is>
      </c>
    </row>
    <row r="155" ht="20" customHeight="1">
      <c r="A155" s="12" t="inlineStr">
        <is>
          <r>
            <rPr>
              <sz val="12"/>
              <rFont val="KaiTi"/>
              <family val="2"/>
            </rPr>
            <t xml:space="preserve">回购注销股份</t>
          </r>
        </is>
      </c>
      <c r="B155" s="22">
        <v>3.927585</v>
      </c>
    </row>
    <row r="156" ht="20" customHeight="1">
      <c r="A156" s="12" t="inlineStr">
        <is>
          <r>
            <rPr>
              <sz val="12"/>
              <rFont val="KaiTi"/>
              <family val="2"/>
            </rPr>
            <t xml:space="preserve">回购前总股本</t>
          </r>
        </is>
      </c>
      <c r="B156" s="22">
        <v>1256.1978</v>
      </c>
    </row>
    <row r="157" ht="20" customHeight="1">
      <c r="A157" s="12" t="inlineStr">
        <is>
          <r>
            <rPr>
              <sz val="12"/>
              <rFont val="KaiTi"/>
              <family val="2"/>
            </rPr>
            <t xml:space="preserve">注销后总股本</t>
          </r>
        </is>
      </c>
      <c r="B157" s="22">
        <v>1252.270215</v>
      </c>
    </row>
    <row r="158" ht="20" customHeight="1">
      <c r="A158" s="31" t="inlineStr">
        <is>
          <r>
            <rPr>
              <b/>
              <sz val="12"/>
              <rFont val="KaiTi"/>
              <family val="2"/>
            </rPr>
            <t xml:space="preserve">员工专业构成（</t>
          </r>
          <r>
            <rPr>
              <b/>
              <sz val="12"/>
              <rFont val="Arial"/>
              <family val="2"/>
            </rPr>
            <t xml:space="preserve">p.32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58" s="31"/>
      <c r="C158" s="31"/>
      <c r="D158" s="31"/>
      <c r="E158" s="31"/>
      <c r="F158" s="31"/>
      <c r="G158" s="31"/>
    </row>
    <row r="159" ht="24" customHeight="1">
      <c r="A15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59" s="3" t="inlineStr">
        <is>
          <r>
            <rPr>
              <b/>
              <sz val="12"/>
              <color rgb="FFFFFFFF"/>
              <rFont val="KaiTi"/>
              <family val="2"/>
            </rPr>
            <t xml:space="preserve">人数（人）</t>
          </r>
        </is>
      </c>
    </row>
    <row r="160" ht="20" customHeight="1">
      <c r="A160" s="12" t="inlineStr">
        <is>
          <r>
            <rPr>
              <sz val="12"/>
              <rFont val="KaiTi"/>
              <family val="2"/>
            </rPr>
            <t xml:space="preserve">生产人员</t>
          </r>
        </is>
      </c>
      <c r="B160" s="48">
        <v>29092.0</v>
      </c>
    </row>
    <row r="161" ht="20" customHeight="1">
      <c r="A161" s="12" t="inlineStr">
        <is>
          <r>
            <rPr>
              <sz val="12"/>
              <rFont val="KaiTi"/>
              <family val="2"/>
            </rPr>
            <t xml:space="preserve">销售人员</t>
          </r>
        </is>
      </c>
      <c r="B161" s="48">
        <v>1205.0</v>
      </c>
    </row>
    <row r="162" ht="20" customHeight="1">
      <c r="A162" s="12" t="inlineStr">
        <is>
          <r>
            <rPr>
              <sz val="12"/>
              <rFont val="KaiTi"/>
              <family val="2"/>
            </rPr>
            <t xml:space="preserve">技术人员</t>
          </r>
        </is>
      </c>
      <c r="B162" s="48">
        <v>1098.0</v>
      </c>
    </row>
    <row r="163" ht="20" customHeight="1">
      <c r="A163" s="12" t="inlineStr">
        <is>
          <r>
            <rPr>
              <sz val="12"/>
              <rFont val="KaiTi"/>
              <family val="2"/>
            </rPr>
            <t xml:space="preserve">财务人员</t>
          </r>
        </is>
      </c>
      <c r="B163" s="48">
        <v>253.0</v>
      </c>
    </row>
    <row r="164" ht="20" customHeight="1">
      <c r="A164" s="12" t="inlineStr">
        <is>
          <r>
            <rPr>
              <sz val="12"/>
              <rFont val="KaiTi"/>
              <family val="2"/>
            </rPr>
            <t xml:space="preserve">行政人员</t>
          </r>
        </is>
      </c>
      <c r="B164" s="48">
        <v>1828.0</v>
      </c>
    </row>
    <row r="165" ht="20" customHeight="1">
      <c r="A165" s="12" t="inlineStr">
        <is>
          <r>
            <rPr>
              <sz val="12"/>
              <rFont val="KaiTi"/>
              <family val="2"/>
            </rPr>
            <t xml:space="preserve">其他人员</t>
          </r>
        </is>
      </c>
      <c r="B165" s="48">
        <v>1516.0</v>
      </c>
    </row>
    <row r="166" ht="20" customHeight="1">
      <c r="A166" s="12" t="inlineStr">
        <is>
          <r>
            <rPr>
              <sz val="12"/>
              <rFont val="KaiTi"/>
              <family val="2"/>
            </rPr>
            <t xml:space="preserve">员工合计</t>
          </r>
        </is>
      </c>
      <c r="B166" s="48">
        <v>34992.0</v>
      </c>
    </row>
    <row r="167" ht="20" customHeight="1">
      <c r="A167" s="31" t="inlineStr">
        <is>
          <r>
            <rPr>
              <b/>
              <sz val="12"/>
              <rFont val="KaiTi"/>
              <family val="2"/>
            </rPr>
            <t xml:space="preserve">主要股东持股（</t>
          </r>
          <r>
            <rPr>
              <b/>
              <sz val="12"/>
              <rFont val="Arial"/>
              <family val="2"/>
            </rPr>
            <t xml:space="preserve">p.48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67" s="31"/>
      <c r="C167" s="31"/>
      <c r="D167" s="31"/>
      <c r="E167" s="31"/>
      <c r="F167" s="31"/>
      <c r="G167" s="31"/>
    </row>
    <row r="168" ht="36" customHeight="1">
      <c r="A168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68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持股数量（百万元）</t>
          </r>
        </is>
      </c>
      <c r="C168" s="3" t="inlineStr">
        <is>
          <r>
            <rPr>
              <b/>
              <sz val="12"/>
              <color rgb="FFFFFFFF"/>
              <rFont val="KaiTi"/>
              <family val="2"/>
            </rPr>
            <t xml:space="preserve">持股比例</t>
          </r>
        </is>
      </c>
    </row>
    <row r="169" ht="20" customHeight="1">
      <c r="A169" s="12" t="inlineStr">
        <is>
          <r>
            <rPr>
              <sz val="12"/>
              <rFont val="KaiTi"/>
              <family val="2"/>
            </rPr>
            <t xml:space="preserve">中国贵州茅台酒厂（集团）有限责任公司</t>
          </r>
        </is>
      </c>
      <c r="B169" s="22">
        <v>681.282935</v>
      </c>
      <c r="C169" s="28">
        <v>0.544</v>
      </c>
    </row>
    <row r="170" ht="20" customHeight="1">
      <c r="A170" s="12" t="inlineStr">
        <is>
          <r>
            <rPr>
              <sz val="12"/>
              <rFont val="KaiTi"/>
              <family val="2"/>
            </rPr>
            <t xml:space="preserve">贵州省国有资本运营有限责任公司</t>
          </r>
        </is>
      </c>
      <c r="B170" s="22">
        <v>56.996777</v>
      </c>
      <c r="C170" s="28">
        <v>0.0455</v>
      </c>
    </row>
    <row r="171" ht="20" customHeight="1">
      <c r="A171" s="12" t="inlineStr">
        <is>
          <r>
            <rPr>
              <sz val="12"/>
              <rFont val="KaiTi"/>
              <family val="2"/>
            </rPr>
            <t xml:space="preserve">香港中央结算有限公司</t>
          </r>
        </is>
      </c>
      <c r="B171" s="22">
        <v>55.048844</v>
      </c>
      <c r="C171" s="28">
        <v>0.044000000000000004</v>
      </c>
    </row>
    <row r="172" ht="20" customHeight="1">
      <c r="A172" s="12" t="inlineStr">
        <is>
          <r>
            <rPr>
              <sz val="12"/>
              <rFont val="KaiTi"/>
              <family val="2"/>
            </rPr>
            <t xml:space="preserve">贵州茅台酒厂（集团）技术开发有限公司</t>
          </r>
        </is>
      </c>
      <c r="B172" s="22">
        <v>27.849688</v>
      </c>
      <c r="C172" s="28">
        <v>0.0222</v>
      </c>
    </row>
    <row r="173" ht="20" customHeight="1">
      <c r="A173" s="31" t="inlineStr">
        <is>
          <r>
            <rPr>
              <b/>
              <sz val="12"/>
              <rFont val="KaiTi"/>
              <family val="2"/>
            </rPr>
            <t xml:space="preserve">研发投入（</t>
          </r>
          <r>
            <rPr>
              <b/>
              <sz val="12"/>
              <rFont val="Arial"/>
              <family val="2"/>
            </rPr>
            <t xml:space="preserve">p.12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3" s="31"/>
      <c r="C173" s="31"/>
      <c r="D173" s="31"/>
      <c r="E173" s="31"/>
      <c r="F173" s="31"/>
      <c r="G173" s="31"/>
    </row>
    <row r="174" ht="24" customHeight="1">
      <c r="A17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4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75" ht="20" customHeight="1">
      <c r="A175" s="12" t="inlineStr">
        <is>
          <r>
            <rPr>
              <sz val="12"/>
              <rFont val="KaiTi"/>
              <family val="2"/>
            </rPr>
            <t xml:space="preserve">研发投入合计</t>
          </r>
        </is>
      </c>
      <c r="B175" s="22">
        <v>803.13223231</v>
      </c>
    </row>
    <row r="176" ht="20" customHeight="1">
      <c r="A176" s="31" t="inlineStr">
        <is>
          <r>
            <rPr>
              <b/>
              <sz val="12"/>
              <rFont val="KaiTi"/>
              <family val="2"/>
            </rPr>
            <t xml:space="preserve">前五名客户与供应商（</t>
          </r>
          <r>
            <rPr>
              <b/>
              <sz val="12"/>
              <rFont val="Arial"/>
              <family val="2"/>
            </rPr>
            <t xml:space="preserve">p.11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76" s="31"/>
      <c r="C176" s="31"/>
      <c r="D176" s="31"/>
      <c r="E176" s="31"/>
      <c r="F176" s="31"/>
      <c r="G176" s="31"/>
    </row>
    <row r="177" ht="24" customHeight="1">
      <c r="A17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77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77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178" ht="20" customHeight="1">
      <c r="A178" s="12" t="inlineStr">
        <is>
          <r>
            <rPr>
              <sz val="12"/>
              <rFont val="KaiTi"/>
              <family val="2"/>
            </rPr>
            <t xml:space="preserve">前五名客户销售额</t>
          </r>
        </is>
      </c>
      <c r="B178" s="22">
        <v>17045.7878</v>
      </c>
      <c r="C178" s="28">
        <v>0.10099999999999999</v>
      </c>
    </row>
    <row r="179" ht="20" customHeight="1">
      <c r="A179" s="12" t="inlineStr">
        <is>
          <r>
            <rPr>
              <sz val="12"/>
              <rFont val="KaiTi"/>
              <family val="2"/>
            </rPr>
            <t xml:space="preserve">前五名供应商采购额</t>
          </r>
        </is>
      </c>
      <c r="B179" s="22">
        <v>3488.2584000000006</v>
      </c>
      <c r="C179" s="28">
        <v>0.3812</v>
      </c>
    </row>
    <row r="180" ht="20" customHeight="1">
      <c r="A180" s="31" t="inlineStr">
        <is>
          <r>
            <rPr>
              <b/>
              <sz val="12"/>
              <rFont val="KaiTi"/>
              <family val="2"/>
            </rPr>
            <t xml:space="preserve">剩余履约义务（</t>
          </r>
          <r>
            <rPr>
              <b/>
              <sz val="12"/>
              <rFont val="Arial"/>
              <family val="2"/>
            </rPr>
            <t xml:space="preserve">p.108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0" s="31"/>
      <c r="C180" s="31"/>
      <c r="D180" s="31"/>
      <c r="E180" s="31"/>
      <c r="F180" s="31"/>
      <c r="G180" s="31"/>
    </row>
    <row r="181" ht="24" customHeight="1">
      <c r="A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1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182" ht="20" customHeight="1">
      <c r="A182" s="12" t="inlineStr">
        <is>
          <r>
            <rPr>
              <sz val="12"/>
              <rFont val="KaiTi"/>
              <family val="2"/>
            </rPr>
            <t xml:space="preserve">预计</t>
          </r>
          <r>
            <rPr>
              <sz val="12"/>
              <rFont val="Arial"/>
              <family val="2"/>
            </rPr>
            <t xml:space="preserve">2026</t>
          </r>
          <r>
            <rPr>
              <sz val="12"/>
              <rFont val="KaiTi"/>
              <family val="2"/>
            </rPr>
            <t xml:space="preserve">年确认收入</t>
          </r>
        </is>
      </c>
      <c r="B182" s="22">
        <v>8006.73978094</v>
      </c>
    </row>
    <row r="183" ht="20" customHeight="1">
      <c r="A183" s="31" t="inlineStr">
        <is>
          <r>
            <rPr>
              <b/>
              <sz val="12"/>
              <rFont val="KaiTi"/>
              <family val="2"/>
            </rPr>
            <t xml:space="preserve">经销商保证金（</t>
          </r>
          <r>
            <rPr>
              <b/>
              <sz val="12"/>
              <rFont val="Arial"/>
              <family val="2"/>
            </rPr>
            <t xml:space="preserve">p.104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3" s="31"/>
      <c r="C183" s="31"/>
      <c r="D183" s="31"/>
      <c r="E183" s="31"/>
      <c r="F183" s="31"/>
      <c r="G183" s="31"/>
    </row>
    <row r="184" ht="24" customHeight="1">
      <c r="A18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8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期末（百万元）</t>
          </r>
        </is>
      </c>
      <c r="C184" s="3" t="inlineStr">
        <is>
          <r>
            <rPr>
              <b/>
              <sz val="12"/>
              <color rgb="FFFFFFFF"/>
              <rFont val="KaiTi"/>
              <family val="2"/>
            </rPr>
            <t xml:space="preserve">期初（百万元）</t>
          </r>
        </is>
      </c>
    </row>
    <row r="185" ht="20" customHeight="1">
      <c r="A185" s="12" t="inlineStr">
        <is>
          <r>
            <rPr>
              <sz val="12"/>
              <rFont val="KaiTi"/>
              <family val="2"/>
            </rPr>
            <t xml:space="preserve">经销商保证金</t>
          </r>
        </is>
      </c>
      <c r="B185" s="22">
        <v>2056.1691204100002</v>
      </c>
      <c r="C185" s="22">
        <v>1936.2298462</v>
      </c>
    </row>
    <row r="186" ht="20" customHeight="1">
      <c r="A186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186" s="31"/>
      <c r="C186" s="31"/>
      <c r="D186" s="31"/>
      <c r="E186" s="31"/>
      <c r="F186" s="31"/>
      <c r="G186" s="31"/>
    </row>
    <row r="187" ht="24" customHeight="1">
      <c r="A187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187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187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188" ht="20" customHeight="1">
      <c r="A188" s="12" t="inlineStr">
        <is>
          <r>
            <rPr>
              <sz val="12"/>
              <rFont val="KaiTi"/>
              <family val="2"/>
            </rPr>
            <t xml:space="preserve">茅台酒吨价</t>
          </r>
        </is>
      </c>
      <c r="B188" s="16">
        <f>B6*100/D19</f>
        <v>313.3643599480521</v>
      </c>
      <c r="C188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189" ht="20" customHeight="1">
      <c r="A189" s="12" t="inlineStr">
        <is>
          <r>
            <rPr>
              <sz val="12"/>
              <rFont val="KaiTi"/>
              <family val="2"/>
            </rPr>
            <t xml:space="preserve">系列酒吨价</t>
          </r>
        </is>
      </c>
      <c r="B189" s="16">
        <f>B7*100/D20</f>
        <v>58.077334070233</v>
      </c>
      <c r="C189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190" ht="20" customHeight="1">
      <c r="A190" s="12" t="inlineStr">
        <is>
          <r>
            <rPr>
              <sz val="12"/>
              <rFont val="KaiTi"/>
              <family val="2"/>
            </rPr>
            <t xml:space="preserve">直销吨价</t>
          </r>
        </is>
      </c>
      <c r="B190" s="16">
        <f>B23*100/D23</f>
        <v>397.86248071113835</v>
      </c>
      <c r="C190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191" ht="20" customHeight="1">
      <c r="A191" s="12" t="inlineStr">
        <is>
          <r>
            <rPr>
              <sz val="12"/>
              <rFont val="KaiTi"/>
              <family val="2"/>
            </rPr>
            <t xml:space="preserve">直销吨价（上期）</t>
          </r>
        </is>
      </c>
      <c r="B191" s="16">
        <f>C23*100/E23</f>
        <v>410.7321622901636</v>
      </c>
      <c r="C191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192" ht="20" customHeight="1">
      <c r="A192" s="12" t="inlineStr">
        <is>
          <r>
            <rPr>
              <sz val="12"/>
              <rFont val="KaiTi"/>
              <family val="2"/>
            </rPr>
            <t xml:space="preserve">批发代理吨价</t>
          </r>
        </is>
      </c>
      <c r="B192" s="16">
        <f>B24*100/D24</f>
        <v>131.91101330940825</v>
      </c>
      <c r="C192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193" ht="20" customHeight="1">
      <c r="A193" s="12" t="inlineStr">
        <is>
          <r>
            <rPr>
              <sz val="12"/>
              <rFont val="KaiTi"/>
              <family val="2"/>
            </rPr>
            <t xml:space="preserve">批发代理吨价（上期）</t>
          </r>
        </is>
      </c>
      <c r="B193" s="16">
        <f>C24*100/E24</f>
        <v>147.08537888397368</v>
      </c>
      <c r="C193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194" ht="20" customHeight="1">
      <c r="A194" s="12" t="inlineStr">
        <is>
          <r>
            <rPr>
              <sz val="12"/>
              <rFont val="KaiTi"/>
              <family val="2"/>
            </rPr>
            <t xml:space="preserve">茅台酒收入占比</t>
          </r>
        </is>
      </c>
      <c r="B194" s="13">
        <f>B6/B8</f>
        <v>0.8680211319589727</v>
      </c>
      <c r="C194" s="12" t="inlineStr">
        <is>
          <t xml:space="preserve">%</t>
        </is>
      </c>
    </row>
    <row r="195" ht="20" customHeight="1">
      <c r="A195" s="12" t="inlineStr">
        <is>
          <r>
            <rPr>
              <sz val="12"/>
              <rFont val="KaiTi"/>
              <family val="2"/>
            </rPr>
            <t xml:space="preserve">直销收入占比</t>
          </r>
        </is>
      </c>
      <c r="B195" s="13">
        <f>B12/B8</f>
        <v>0.5009227648856719</v>
      </c>
      <c r="C195" s="12" t="inlineStr">
        <is>
          <t xml:space="preserve">%</t>
        </is>
      </c>
    </row>
    <row r="196" ht="20" customHeight="1">
      <c r="A196" s="12" t="inlineStr">
        <is>
          <r>
            <rPr>
              <sz val="12"/>
              <rFont val="KaiTi"/>
              <family val="2"/>
            </rPr>
            <t xml:space="preserve">直销收入占比（上期）</t>
          </r>
        </is>
      </c>
      <c r="B196" s="28">
        <v>0.437938550912061</v>
      </c>
      <c r="C196" s="12" t="inlineStr">
        <is>
          <t xml:space="preserve">%</t>
        </is>
      </c>
    </row>
    <row r="197" ht="20" customHeight="1">
      <c r="A197" s="12" t="inlineStr">
        <is>
          <r>
            <rPr>
              <sz val="12"/>
              <rFont val="Arial"/>
              <family val="2"/>
            </rPr>
            <t xml:space="preserve">i</t>
          </r>
          <r>
            <rPr>
              <sz val="12"/>
              <rFont val="KaiTi"/>
              <family val="2"/>
            </rPr>
            <t xml:space="preserve">茅台占直销收入比例</t>
          </r>
        </is>
      </c>
      <c r="B197" s="13">
        <f>B27/B12</f>
        <v>0.15413939166988053</v>
      </c>
      <c r="C197" s="12" t="inlineStr">
        <is>
          <t xml:space="preserve">%</t>
        </is>
      </c>
    </row>
    <row r="198" ht="20" customHeight="1">
      <c r="A198" s="12" t="inlineStr">
        <is>
          <r>
            <rPr>
              <sz val="12"/>
              <rFont val="Arial"/>
              <family val="2"/>
            </rPr>
            <t xml:space="preserve">2025 </t>
          </r>
          <r>
            <rPr>
              <sz val="12"/>
              <rFont val="KaiTi"/>
              <family val="2"/>
            </rPr>
            <t xml:space="preserve">年度现金分红率</t>
          </r>
        </is>
      </c>
      <c r="B198" s="28">
        <v>0.7900017855873785</v>
      </c>
      <c r="C198" s="12" t="inlineStr">
        <is>
          <t xml:space="preserve">%</t>
        </is>
      </c>
    </row>
    <row r="199" ht="20" customHeight="1">
      <c r="A199" s="12" t="inlineStr">
        <is>
          <r>
            <rPr>
              <sz val="12"/>
              <rFont val="KaiTi"/>
              <family val="2"/>
            </rPr>
            <t xml:space="preserve">系列酒收入占比</t>
          </r>
        </is>
      </c>
      <c r="B199" s="13">
        <f>B7/B8</f>
        <v>0.13197886804102743</v>
      </c>
      <c r="C199" s="12" t="inlineStr">
        <is>
          <t xml:space="preserve">%</t>
        </is>
      </c>
    </row>
    <row r="200" ht="20" customHeight="1">
      <c r="A200" s="12" t="inlineStr">
        <is>
          <r>
            <rPr>
              <sz val="12"/>
              <rFont val="KaiTi"/>
              <family val="2"/>
            </rPr>
            <t xml:space="preserve">茅台酒销量占比</t>
          </r>
        </is>
      </c>
      <c r="B200" s="13">
        <f>D19/C48</f>
        <v>0.5493347327168808</v>
      </c>
      <c r="C200" s="12" t="inlineStr">
        <is>
          <t xml:space="preserve">%</t>
        </is>
      </c>
    </row>
    <row r="201" ht="20" customHeight="1">
      <c r="A201" s="12" t="inlineStr">
        <is>
          <r>
            <rPr>
              <sz val="12"/>
              <rFont val="KaiTi"/>
              <family val="2"/>
            </rPr>
            <t xml:space="preserve">系列酒销量占比</t>
          </r>
        </is>
      </c>
      <c r="B201" s="13">
        <f>D20/C48</f>
        <v>0.4506652672831193</v>
      </c>
      <c r="C201" s="12" t="inlineStr">
        <is>
          <t xml:space="preserve">%</t>
        </is>
      </c>
    </row>
    <row r="202" ht="20" customHeight="1">
      <c r="A202" s="12" t="inlineStr">
        <is>
          <r>
            <rPr>
              <sz val="12"/>
              <rFont val="KaiTi"/>
              <family val="2"/>
            </rPr>
            <t xml:space="preserve">茅台酒吨成本</t>
          </r>
        </is>
      </c>
      <c r="B202" s="16">
        <f>D6*100/D19</f>
        <v>20.28796561490255</v>
      </c>
      <c r="C202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203" ht="20" customHeight="1">
      <c r="A203" s="12" t="inlineStr">
        <is>
          <r>
            <rPr>
              <sz val="12"/>
              <rFont val="KaiTi"/>
              <family val="2"/>
            </rPr>
            <t xml:space="preserve">系列酒吨成本</t>
          </r>
        </is>
      </c>
      <c r="B203" s="16">
        <f>D7*100/D20</f>
        <v>13.873949154157588</v>
      </c>
      <c r="C203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204" ht="20" customHeight="1">
      <c r="A204" s="12" t="inlineStr">
        <is>
          <r>
            <rPr>
              <sz val="12"/>
              <rFont val="KaiTi"/>
              <family val="2"/>
            </rPr>
            <t xml:space="preserve">直销吨价同比</t>
          </r>
        </is>
      </c>
      <c r="B204" s="28">
        <v>-0.031333513078855124</v>
      </c>
      <c r="C204" s="12" t="inlineStr">
        <is>
          <t xml:space="preserve">%</t>
        </is>
      </c>
    </row>
    <row r="205" ht="20" customHeight="1">
      <c r="A205" s="12" t="inlineStr">
        <is>
          <r>
            <rPr>
              <sz val="12"/>
              <rFont val="KaiTi"/>
              <family val="2"/>
            </rPr>
            <t xml:space="preserve">批发代理吨价同比</t>
          </r>
        </is>
      </c>
      <c r="B205" s="28">
        <v>-0.10316705637027003</v>
      </c>
      <c r="C205" s="12" t="inlineStr">
        <is>
          <t xml:space="preserve">%</t>
        </is>
      </c>
    </row>
    <row r="206" ht="20" customHeight="1">
      <c r="A206" s="12" t="inlineStr">
        <is>
          <r>
            <rPr>
              <sz val="12"/>
              <rFont val="KaiTi"/>
              <family val="2"/>
            </rPr>
            <t xml:space="preserve">直销销量同比</t>
          </r>
        </is>
      </c>
      <c r="B206" s="13">
        <f>D23/E23</f>
        <v>0.16613937162528902</v>
      </c>
      <c r="C206" s="12" t="inlineStr">
        <is>
          <t xml:space="preserve">%</t>
        </is>
      </c>
    </row>
    <row r="207" ht="20" customHeight="1">
      <c r="A207" s="12" t="inlineStr">
        <is>
          <r>
            <rPr>
              <sz val="12"/>
              <rFont val="KaiTi"/>
              <family val="2"/>
            </rPr>
            <t xml:space="preserve">批发代理销量同比</t>
          </r>
        </is>
      </c>
      <c r="B207" s="13">
        <f>D24/E24</f>
        <v>-0.019290185672644622</v>
      </c>
      <c r="C207" s="12" t="inlineStr">
        <is>
          <t xml:space="preserve">%</t>
        </is>
      </c>
    </row>
    <row r="208" ht="20" customHeight="1">
      <c r="A208" s="12" t="inlineStr">
        <is>
          <r>
            <rPr>
              <sz val="12"/>
              <rFont val="KaiTi"/>
              <family val="2"/>
            </rPr>
            <t xml:space="preserve">直销收入占比变动</t>
          </r>
        </is>
      </c>
      <c r="B208" s="25">
        <v>6.298421397361082</v>
      </c>
      <c r="C208" s="12" t="inlineStr">
        <is>
          <t xml:space="preserve">pp</t>
        </is>
      </c>
    </row>
    <row r="209" ht="20" customHeight="1">
      <c r="A209" s="12" t="inlineStr">
        <is>
          <r>
            <rPr>
              <sz val="12"/>
              <rFont val="KaiTi"/>
              <family val="2"/>
            </rPr>
            <t xml:space="preserve">直销中自营及其他收入</t>
          </r>
        </is>
      </c>
      <c r="B209" s="25">
        <v>71511620354.63</v>
      </c>
      <c r="C20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10" ht="20" customHeight="1">
      <c r="A210" s="12" t="inlineStr">
        <is>
          <r>
            <rPr>
              <sz val="12"/>
              <rFont val="Arial"/>
              <family val="2"/>
            </rPr>
            <t xml:space="preserve">i</t>
          </r>
          <r>
            <rPr>
              <sz val="12"/>
              <rFont val="KaiTi"/>
              <family val="2"/>
            </rPr>
            <t xml:space="preserve">茅台占营业收入比例</t>
          </r>
        </is>
      </c>
      <c r="B210" s="28">
        <v>0.07718288292690606</v>
      </c>
      <c r="C210" s="12" t="inlineStr">
        <is>
          <t xml:space="preserve">%</t>
        </is>
      </c>
    </row>
    <row r="211" ht="20" customHeight="1">
      <c r="A211" s="12" t="inlineStr">
        <is>
          <r>
            <rPr>
              <sz val="12"/>
              <rFont val="KaiTi"/>
              <family val="2"/>
            </rPr>
            <t xml:space="preserve">国内吨价</t>
          </r>
        </is>
      </c>
      <c r="B211" s="16">
        <f>B65*100/E65</f>
        <v>197.23567460124087</v>
      </c>
      <c r="C211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212" ht="20" customHeight="1">
      <c r="A212" s="12" t="inlineStr">
        <is>
          <r>
            <rPr>
              <sz val="12"/>
              <rFont val="KaiTi"/>
              <family val="2"/>
            </rPr>
            <t xml:space="preserve">国内吨价（上期）</t>
          </r>
        </is>
      </c>
      <c r="B212" s="16">
        <f>C65*100/F65</f>
        <v>203.67339675047577</v>
      </c>
      <c r="C212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213" ht="20" customHeight="1">
      <c r="A213" s="12" t="inlineStr">
        <is>
          <r>
            <rPr>
              <sz val="12"/>
              <rFont val="KaiTi"/>
              <family val="2"/>
            </rPr>
            <t xml:space="preserve">国外吨价</t>
          </r>
        </is>
      </c>
      <c r="B213" s="16">
        <f>B66*100/E66</f>
        <v>243.3356729664508</v>
      </c>
      <c r="C213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214" ht="20" customHeight="1">
      <c r="A214" s="12" t="inlineStr">
        <is>
          <r>
            <rPr>
              <sz val="12"/>
              <rFont val="KaiTi"/>
              <family val="2"/>
            </rPr>
            <t xml:space="preserve">国外吨价（上期）</t>
          </r>
        </is>
      </c>
      <c r="B214" s="16">
        <f>C66*100/F66</f>
        <v>245.5678437386115</v>
      </c>
      <c r="C214" s="12" t="inlineStr">
        <is>
          <r>
            <rPr>
              <sz val="12"/>
              <rFont val="KaiTi"/>
              <family val="2"/>
            </rPr>
            <t xml:space="preserve">万元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吨</t>
          </r>
        </is>
      </c>
    </row>
    <row r="215" ht="20" customHeight="1">
      <c r="A215" s="12" t="inlineStr">
        <is>
          <r>
            <rPr>
              <sz val="12"/>
              <rFont val="KaiTi"/>
              <family val="2"/>
            </rPr>
            <t xml:space="preserve">国外销量同比</t>
          </r>
        </is>
      </c>
      <c r="B215" s="13">
        <f>E66/F66</f>
        <v>-0.056643333475320246</v>
      </c>
      <c r="C215" s="12" t="inlineStr">
        <is>
          <t xml:space="preserve">%</t>
        </is>
      </c>
    </row>
    <row r="216" ht="20" customHeight="1">
      <c r="A216" s="12" t="inlineStr">
        <is>
          <r>
            <rPr>
              <sz val="12"/>
              <rFont val="KaiTi"/>
              <family val="2"/>
            </rPr>
            <t xml:space="preserve">酿酒原材料采购额同比</t>
          </r>
        </is>
      </c>
      <c r="B216" s="13">
        <f>B59/C59</f>
        <v>-0.014757012865084684</v>
      </c>
      <c r="C216" s="12" t="inlineStr">
        <is>
          <t xml:space="preserve">%</t>
        </is>
      </c>
    </row>
    <row r="217" ht="20" customHeight="1">
      <c r="A217" s="12" t="inlineStr">
        <is>
          <r>
            <rPr>
              <sz val="12"/>
              <rFont val="KaiTi"/>
              <family val="2"/>
            </rPr>
            <t xml:space="preserve">包装材料采购额同比</t>
          </r>
        </is>
      </c>
      <c r="B217" s="13">
        <f>B60/C60</f>
        <v>0.11554819865454281</v>
      </c>
      <c r="C217" s="12" t="inlineStr">
        <is>
          <t xml:space="preserve">%</t>
        </is>
      </c>
    </row>
    <row r="218" ht="20" customHeight="1">
      <c r="A218" s="12" t="inlineStr">
        <is>
          <r>
            <rPr>
              <sz val="12"/>
              <rFont val="KaiTi"/>
              <family val="2"/>
            </rPr>
            <t xml:space="preserve">能源采购额同比</t>
          </r>
        </is>
      </c>
      <c r="B218" s="13">
        <f>B61/C61</f>
        <v>0.18709862780919195</v>
      </c>
      <c r="C218" s="12" t="inlineStr">
        <is>
          <t xml:space="preserve">%</t>
        </is>
      </c>
    </row>
    <row r="219" ht="20" customHeight="1">
      <c r="A219" s="12" t="inlineStr">
        <is>
          <r>
            <rPr>
              <sz val="12"/>
              <rFont val="KaiTi"/>
              <family val="2"/>
            </rPr>
            <t xml:space="preserve">直接材料占比变动</t>
          </r>
        </is>
      </c>
      <c r="B219" s="25">
        <v>0.7899999999999991</v>
      </c>
      <c r="C219" s="12" t="inlineStr">
        <is>
          <t xml:space="preserve">pp</t>
        </is>
      </c>
    </row>
    <row r="220" ht="20" customHeight="1">
      <c r="A220" s="12" t="inlineStr">
        <is>
          <r>
            <rPr>
              <sz val="12"/>
              <rFont val="KaiTi"/>
              <family val="2"/>
            </rPr>
            <t xml:space="preserve">广告宣传费同比</t>
          </r>
        </is>
      </c>
      <c r="B220" s="13">
        <f>B78/C78</f>
        <v>0.3693960957807467</v>
      </c>
      <c r="C220" s="12" t="inlineStr">
        <is>
          <t xml:space="preserve">%</t>
        </is>
      </c>
    </row>
    <row r="221" ht="20" customHeight="1">
      <c r="A221" s="12" t="inlineStr">
        <is>
          <r>
            <rPr>
              <sz val="12"/>
              <rFont val="KaiTi"/>
              <family val="2"/>
            </rPr>
            <t xml:space="preserve">市场推广及服务费同比</t>
          </r>
        </is>
      </c>
      <c r="B221" s="13">
        <f>B79/C79</f>
        <v>0.24571786618598956</v>
      </c>
      <c r="C221" s="12" t="inlineStr">
        <is>
          <t xml:space="preserve">%</t>
        </is>
      </c>
    </row>
    <row r="222" ht="20" customHeight="1">
      <c r="A222" s="12" t="inlineStr">
        <is>
          <r>
            <rPr>
              <sz val="12"/>
              <rFont val="KaiTi"/>
              <family val="2"/>
            </rPr>
            <t xml:space="preserve">其他销售费用同比</t>
          </r>
        </is>
      </c>
      <c r="B222" s="13">
        <f>B81/C81</f>
        <v>0.4229662699132499</v>
      </c>
      <c r="C222" s="12" t="inlineStr">
        <is>
          <t xml:space="preserve">%</t>
        </is>
      </c>
    </row>
    <row r="223" ht="20" customHeight="1">
      <c r="A223" s="12" t="inlineStr">
        <is>
          <r>
            <rPr>
              <sz val="12"/>
              <rFont val="KaiTi"/>
              <family val="2"/>
            </rPr>
            <t xml:space="preserve">广告宣传费率</t>
          </r>
        </is>
      </c>
      <c r="B223" s="28">
        <v>0.010831256505147026</v>
      </c>
      <c r="C223" s="12" t="inlineStr">
        <is>
          <t xml:space="preserve">%</t>
        </is>
      </c>
    </row>
    <row r="224" ht="20" customHeight="1">
      <c r="A224" s="12" t="inlineStr">
        <is>
          <r>
            <rPr>
              <sz val="12"/>
              <rFont val="KaiTi"/>
              <family val="2"/>
            </rPr>
            <t xml:space="preserve">广告宣传费率（上期）</t>
          </r>
        </is>
      </c>
      <c r="B224" s="28">
        <v>0.00781412420069027</v>
      </c>
      <c r="C224" s="12" t="inlineStr">
        <is>
          <t xml:space="preserve">%</t>
        </is>
      </c>
    </row>
    <row r="225" ht="20" customHeight="1">
      <c r="A225" s="12" t="inlineStr">
        <is>
          <r>
            <rPr>
              <sz val="12"/>
              <rFont val="KaiTi"/>
              <family val="2"/>
            </rPr>
            <t xml:space="preserve">市场推广及服务费率</t>
          </r>
        </is>
      </c>
      <c r="B225" s="28">
        <v>0.027634533394624503</v>
      </c>
      <c r="C225" s="12" t="inlineStr">
        <is>
          <t xml:space="preserve">%</t>
        </is>
      </c>
    </row>
    <row r="226" ht="20" customHeight="1">
      <c r="A226" s="12" t="inlineStr">
        <is>
          <r>
            <rPr>
              <sz val="12"/>
              <rFont val="KaiTi"/>
              <family val="2"/>
            </rPr>
            <t xml:space="preserve">市场推广及服务费率（上期）</t>
          </r>
        </is>
      </c>
      <c r="B226" s="28">
        <v>0.021916086053801534</v>
      </c>
      <c r="C226" s="12" t="inlineStr">
        <is>
          <t xml:space="preserve">%</t>
        </is>
      </c>
    </row>
    <row r="227" ht="20" customHeight="1">
      <c r="A227" s="12" t="inlineStr">
        <is>
          <r>
            <rPr>
              <sz val="12"/>
              <rFont val="KaiTi"/>
              <family val="2"/>
            </rPr>
            <t xml:space="preserve">销售费用增加额</t>
          </r>
        </is>
      </c>
      <c r="B227" s="25">
        <v>1614199541.1900005</v>
      </c>
      <c r="C227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28" ht="20" customHeight="1">
      <c r="A228" s="12" t="inlineStr">
        <is>
          <r>
            <rPr>
              <sz val="12"/>
              <rFont val="KaiTi"/>
              <family val="2"/>
            </rPr>
            <t xml:space="preserve">市场推广及服务费增加额</t>
          </r>
        </is>
      </c>
      <c r="B228" s="25">
        <v>920321654.4199996</v>
      </c>
      <c r="C228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29" ht="20" customHeight="1">
      <c r="A229" s="12" t="inlineStr">
        <is>
          <r>
            <rPr>
              <sz val="12"/>
              <rFont val="KaiTi"/>
              <family val="2"/>
            </rPr>
            <t xml:space="preserve">广告宣传费增加额</t>
          </r>
        </is>
      </c>
      <c r="B229" s="25">
        <v>493301594.5</v>
      </c>
      <c r="C22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0" ht="20" customHeight="1">
      <c r="A230" s="12" t="inlineStr">
        <is>
          <r>
            <rPr>
              <sz val="12"/>
              <rFont val="KaiTi"/>
              <family val="2"/>
            </rPr>
            <t xml:space="preserve">职工薪酬费用同比</t>
          </r>
        </is>
      </c>
      <c r="B230" s="13">
        <f>B85/C85</f>
        <v>-0.24161886591887405</v>
      </c>
      <c r="C230" s="12" t="inlineStr">
        <is>
          <t xml:space="preserve">%</t>
        </is>
      </c>
    </row>
    <row r="231" ht="20" customHeight="1">
      <c r="A231" s="12" t="inlineStr">
        <is>
          <r>
            <rPr>
              <sz val="12"/>
              <rFont val="KaiTi"/>
              <family val="2"/>
            </rPr>
            <t xml:space="preserve">管理费用职工薪酬减少额</t>
          </r>
        </is>
      </c>
      <c r="B231" s="25">
        <v>-893382835.7200003</v>
      </c>
      <c r="C231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32" ht="20" customHeight="1">
      <c r="A232" s="12" t="inlineStr">
        <is>
          <r>
            <rPr>
              <sz val="12"/>
              <rFont val="KaiTi"/>
              <family val="2"/>
            </rPr>
            <t xml:space="preserve">环境整治费同比</t>
          </r>
        </is>
      </c>
      <c r="B232" s="13">
        <f>B88/C88</f>
        <v>-0.5447111709196029</v>
      </c>
      <c r="C232" s="12" t="inlineStr">
        <is>
          <t xml:space="preserve">%</t>
        </is>
      </c>
    </row>
    <row r="233" ht="20" customHeight="1">
      <c r="A233" s="12" t="inlineStr">
        <is>
          <r>
            <rPr>
              <sz val="12"/>
              <rFont val="KaiTi"/>
              <family val="2"/>
            </rPr>
            <t xml:space="preserve">商标许可使用费率</t>
          </r>
        </is>
      </c>
      <c r="B233" s="28">
        <v>0.014693949500010971</v>
      </c>
      <c r="C233" s="12" t="inlineStr">
        <is>
          <t xml:space="preserve">%</t>
        </is>
      </c>
    </row>
    <row r="234" ht="20" customHeight="1">
      <c r="A234" s="12" t="inlineStr">
        <is>
          <r>
            <rPr>
              <sz val="12"/>
              <rFont val="KaiTi"/>
              <family val="2"/>
            </rPr>
            <t xml:space="preserve">税金及附加率</t>
          </r>
        </is>
      </c>
      <c r="B234" s="28">
        <v>0.16201454101560875</v>
      </c>
      <c r="C234" s="12" t="inlineStr">
        <is>
          <t xml:space="preserve">%</t>
        </is>
      </c>
    </row>
    <row r="235" ht="20" customHeight="1">
      <c r="A235" s="12" t="inlineStr">
        <is>
          <r>
            <rPr>
              <sz val="12"/>
              <rFont val="KaiTi"/>
              <family val="2"/>
            </rPr>
            <t xml:space="preserve">税金及附加率（上期）</t>
          </r>
        </is>
      </c>
      <c r="B235" s="28">
        <v>0.1575558516021836</v>
      </c>
      <c r="C235" s="12" t="inlineStr">
        <is>
          <t xml:space="preserve">%</t>
        </is>
      </c>
    </row>
    <row r="236" ht="20" customHeight="1">
      <c r="A236" s="12" t="inlineStr">
        <is>
          <r>
            <rPr>
              <sz val="12"/>
              <rFont val="KaiTi"/>
              <family val="2"/>
            </rPr>
            <t xml:space="preserve">消费税占营业收入比例</t>
          </r>
        </is>
      </c>
      <c r="B236" s="28">
        <v>0.12910237314122014</v>
      </c>
      <c r="C236" s="12" t="inlineStr">
        <is>
          <t xml:space="preserve">%</t>
        </is>
      </c>
    </row>
    <row r="237" ht="20" customHeight="1">
      <c r="A237" s="12" t="inlineStr">
        <is>
          <r>
            <rPr>
              <sz val="12"/>
              <rFont val="KaiTi"/>
              <family val="2"/>
            </rPr>
            <t xml:space="preserve">消费税占营业收入比例（上期）</t>
          </r>
        </is>
      </c>
      <c r="B237" s="28">
        <v>0.12574382496697206</v>
      </c>
      <c r="C237" s="12" t="inlineStr">
        <is>
          <t xml:space="preserve">%</t>
        </is>
      </c>
    </row>
    <row r="238" ht="20" customHeight="1">
      <c r="A238" s="12" t="inlineStr">
        <is>
          <r>
            <rPr>
              <sz val="12"/>
              <rFont val="KaiTi"/>
              <family val="2"/>
            </rPr>
            <t xml:space="preserve">消费税同比</t>
          </r>
        </is>
      </c>
      <c r="B238" s="13">
        <f>B94/C94</f>
        <v>0.014327296257412137</v>
      </c>
      <c r="C238" s="12" t="inlineStr">
        <is>
          <t xml:space="preserve">%</t>
        </is>
      </c>
    </row>
    <row r="239" ht="20" customHeight="1">
      <c r="A239" s="12" t="inlineStr">
        <is>
          <r>
            <rPr>
              <sz val="12"/>
              <rFont val="KaiTi"/>
              <family val="2"/>
            </rPr>
            <t xml:space="preserve">自制半成品同比</t>
          </r>
        </is>
      </c>
      <c r="B239" s="13">
        <f>B104/C104</f>
        <v>0.16671799957880862</v>
      </c>
      <c r="C239" s="12" t="inlineStr">
        <is>
          <t xml:space="preserve">%</t>
        </is>
      </c>
    </row>
    <row r="240" ht="20" customHeight="1">
      <c r="A240" s="12" t="inlineStr">
        <is>
          <r>
            <rPr>
              <sz val="12"/>
              <rFont val="KaiTi"/>
              <family val="2"/>
            </rPr>
            <t xml:space="preserve">在产品同比</t>
          </r>
        </is>
      </c>
      <c r="B240" s="13">
        <f>B102/C102</f>
        <v>0.03983959785828084</v>
      </c>
      <c r="C240" s="12" t="inlineStr">
        <is>
          <t xml:space="preserve">%</t>
        </is>
      </c>
    </row>
    <row r="241" ht="20" customHeight="1">
      <c r="A241" s="12" t="inlineStr">
        <is>
          <r>
            <rPr>
              <sz val="12"/>
              <rFont val="KaiTi"/>
              <family val="2"/>
            </rPr>
            <t xml:space="preserve">库存商品同比</t>
          </r>
        </is>
      </c>
      <c r="B241" s="13">
        <f>B103/C103</f>
        <v>0.5118971321383328</v>
      </c>
      <c r="C241" s="12" t="inlineStr">
        <is>
          <t xml:space="preserve">%</t>
        </is>
      </c>
    </row>
    <row r="242" ht="20" customHeight="1">
      <c r="A242" s="12" t="inlineStr">
        <is>
          <r>
            <rPr>
              <sz val="12"/>
              <rFont val="KaiTi"/>
              <family val="2"/>
            </rPr>
            <t xml:space="preserve">自制半成品占存货比例</t>
          </r>
        </is>
      </c>
      <c r="B242" s="13">
        <f>B104/B105</f>
        <v>0.447989347370775</v>
      </c>
      <c r="C242" s="12" t="inlineStr">
        <is>
          <t xml:space="preserve">%</t>
        </is>
      </c>
    </row>
    <row r="243" ht="20" customHeight="1">
      <c r="A243" s="12" t="inlineStr">
        <is>
          <r>
            <rPr>
              <sz val="12"/>
              <rFont val="KaiTi"/>
              <family val="2"/>
            </rPr>
            <t xml:space="preserve">在产品占存货比例</t>
          </r>
        </is>
      </c>
      <c r="B243" s="13">
        <f>B102/B105</f>
        <v>0.4177835804636673</v>
      </c>
      <c r="C243" s="12" t="inlineStr">
        <is>
          <t xml:space="preserve">%</t>
        </is>
      </c>
    </row>
    <row r="244" ht="20" customHeight="1">
      <c r="A244" s="12" t="inlineStr">
        <is>
          <r>
            <rPr>
              <sz val="12"/>
              <rFont val="KaiTi"/>
              <family val="2"/>
            </rPr>
            <t xml:space="preserve">库存商品占存货比例</t>
          </r>
        </is>
      </c>
      <c r="B244" s="13">
        <f>B103/B105</f>
        <v>0.07336742348317576</v>
      </c>
      <c r="C244" s="12" t="inlineStr">
        <is>
          <t xml:space="preserve">%</t>
        </is>
      </c>
    </row>
    <row r="245" ht="20" customHeight="1">
      <c r="A245" s="12" t="inlineStr">
        <is>
          <r>
            <rPr>
              <sz val="12"/>
              <rFont val="KaiTi"/>
              <family val="2"/>
            </rPr>
            <t xml:space="preserve">半成品酒库存与年销量之比</t>
          </r>
        </is>
      </c>
      <c r="B245" s="25">
        <v>3.7037858557762293</v>
      </c>
      <c r="C245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46" ht="20" customHeight="1">
      <c r="A246" s="12" t="inlineStr">
        <is>
          <r>
            <rPr>
              <sz val="12"/>
              <rFont val="KaiTi"/>
              <family val="2"/>
            </rPr>
            <t xml:space="preserve">茅台酒销售公司净利率</t>
          </r>
        </is>
      </c>
      <c r="B246" s="13">
        <f>F108/D108</f>
        <v>0.33350313255811304</v>
      </c>
      <c r="C246" s="12" t="inlineStr">
        <is>
          <t xml:space="preserve">%</t>
        </is>
      </c>
    </row>
    <row r="247" ht="20" customHeight="1">
      <c r="A247" s="12" t="inlineStr">
        <is>
          <r>
            <rPr>
              <sz val="12"/>
              <rFont val="KaiTi"/>
              <family val="2"/>
            </rPr>
            <t xml:space="preserve">酱香酒营销公司净利率</t>
          </r>
        </is>
      </c>
      <c r="B247" s="13">
        <f>F109/D109</f>
        <v>0.22001935854710866</v>
      </c>
      <c r="C247" s="12" t="inlineStr">
        <is>
          <t xml:space="preserve">%</t>
        </is>
      </c>
    </row>
    <row r="248" ht="20" customHeight="1">
      <c r="A248" s="12" t="inlineStr">
        <is>
          <r>
            <rPr>
              <sz val="12"/>
              <rFont val="KaiTi"/>
              <family val="2"/>
            </rPr>
            <t xml:space="preserve">茅台酒技改项目投资进度</t>
          </r>
        </is>
      </c>
      <c r="B248" s="13">
        <f>D75/B75</f>
        <v>0.156287032740397</v>
      </c>
      <c r="C248" s="12" t="inlineStr">
        <is>
          <t xml:space="preserve">%</t>
        </is>
      </c>
    </row>
    <row r="249" ht="20" customHeight="1">
      <c r="A249" s="12" t="inlineStr">
        <is>
          <r>
            <rPr>
              <sz val="12"/>
              <rFont val="Arial"/>
              <family val="2"/>
            </rPr>
            <t xml:space="preserve">3</t>
          </r>
          <r>
            <rPr>
              <sz val="12"/>
              <rFont val="KaiTi"/>
              <family val="2"/>
            </rPr>
            <t xml:space="preserve">万吨系列酒技改项目投资进度</t>
          </r>
        </is>
      </c>
      <c r="B249" s="13">
        <f>D73/B73</f>
        <v>0.6951996660117878</v>
      </c>
      <c r="C249" s="12" t="inlineStr">
        <is>
          <t xml:space="preserve">%</t>
        </is>
      </c>
    </row>
    <row r="250" ht="20" customHeight="1">
      <c r="A250" s="12" t="inlineStr">
        <is>
          <r>
            <rPr>
              <sz val="12"/>
              <rFont val="KaiTi"/>
              <family val="2"/>
            </rPr>
            <t xml:space="preserve">习水同民坝项目投资进度</t>
          </r>
        </is>
      </c>
      <c r="B250" s="13">
        <f>D74/B74</f>
        <v>0.5352929197080292</v>
      </c>
      <c r="C250" s="12" t="inlineStr">
        <is>
          <t xml:space="preserve">%</t>
        </is>
      </c>
    </row>
    <row r="251" ht="20" customHeight="1">
      <c r="A251" s="12" t="inlineStr">
        <is>
          <r>
            <rPr>
              <sz val="12"/>
              <rFont val="KaiTi"/>
              <family val="2"/>
            </rPr>
            <t xml:space="preserve">茅台酒基酒产量与设计产能之比</t>
          </r>
        </is>
      </c>
      <c r="B251" s="13">
        <f>C35/B35</f>
        <v>1.2603332255630995</v>
      </c>
      <c r="C251" s="12" t="inlineStr">
        <is>
          <t xml:space="preserve">%</t>
        </is>
      </c>
    </row>
    <row r="252" ht="20" customHeight="1">
      <c r="A252" s="12" t="inlineStr">
        <is>
          <r>
            <rPr>
              <sz val="12"/>
              <rFont val="KaiTi"/>
              <family val="2"/>
            </rPr>
            <t xml:space="preserve">系列酒基酒产量与设计产能之比</t>
          </r>
        </is>
      </c>
      <c r="B252" s="13">
        <f>C36/B36</f>
        <v>0.9705483164983165</v>
      </c>
      <c r="C252" s="12" t="inlineStr">
        <is>
          <t xml:space="preserve">%</t>
        </is>
      </c>
    </row>
    <row r="253" ht="20" customHeight="1">
      <c r="A253" s="12" t="inlineStr">
        <is>
          <r>
            <rPr>
              <sz val="12"/>
              <rFont val="KaiTi"/>
              <family val="2"/>
            </rPr>
            <t xml:space="preserve">茅台酒新增设计产能占比</t>
          </r>
        </is>
      </c>
      <c r="B253" s="13">
        <f>B69/B35</f>
        <v>0.038797284190106696</v>
      </c>
      <c r="C253" s="12" t="inlineStr">
        <is>
          <t xml:space="preserve">%</t>
        </is>
      </c>
    </row>
    <row r="254" ht="20" customHeight="1">
      <c r="A254" s="12" t="inlineStr">
        <is>
          <r>
            <rPr>
              <sz val="12"/>
              <rFont val="KaiTi"/>
              <family val="2"/>
            </rPr>
            <t xml:space="preserve">系列酒新增设计产能占比</t>
          </r>
        </is>
      </c>
      <c r="B254" s="13">
        <f>B70/B36</f>
        <v>0.11683501683501683</v>
      </c>
      <c r="C254" s="12" t="inlineStr">
        <is>
          <t xml:space="preserve">%</t>
        </is>
      </c>
    </row>
    <row r="255" ht="20" customHeight="1">
      <c r="A255" s="12" t="inlineStr">
        <is>
          <r>
            <rPr>
              <sz val="12"/>
              <rFont val="KaiTi"/>
              <family val="2"/>
            </rPr>
            <t xml:space="preserve">合同负债与营业收入之比</t>
          </r>
        </is>
      </c>
      <c r="B255" s="28">
        <v>0.047422588039560676</v>
      </c>
      <c r="C255" s="12" t="inlineStr">
        <is>
          <t xml:space="preserve">%</t>
        </is>
      </c>
    </row>
    <row r="256" ht="20" customHeight="1">
      <c r="A256" s="12" t="inlineStr">
        <is>
          <r>
            <rPr>
              <sz val="12"/>
              <rFont val="KaiTi"/>
              <family val="2"/>
            </rPr>
            <t xml:space="preserve">合同负债与营业收入之比（上期）</t>
          </r>
        </is>
      </c>
      <c r="B256" s="28">
        <v>0.05612931888128517</v>
      </c>
      <c r="C256" s="12" t="inlineStr">
        <is>
          <t xml:space="preserve">%</t>
        </is>
      </c>
    </row>
    <row r="257" ht="20" customHeight="1">
      <c r="A257" s="12" t="inlineStr">
        <is>
          <r>
            <rPr>
              <sz val="12"/>
              <rFont val="KaiTi"/>
              <family val="2"/>
            </rPr>
            <t xml:space="preserve">经销商保证金同比</t>
          </r>
        </is>
      </c>
      <c r="B257" s="13">
        <f>B185/C185</f>
        <v>0.06194475022962287</v>
      </c>
      <c r="C257" s="12" t="inlineStr">
        <is>
          <t xml:space="preserve">%</t>
        </is>
      </c>
    </row>
    <row r="258" ht="20" customHeight="1">
      <c r="A258" s="12" t="inlineStr">
        <is>
          <r>
            <rPr>
              <sz val="12"/>
              <rFont val="KaiTi"/>
              <family val="2"/>
            </rPr>
            <t xml:space="preserve">生产人员占比</t>
          </r>
        </is>
      </c>
      <c r="B258" s="13">
        <f>B160/B166</f>
        <v>0.831390032007316</v>
      </c>
      <c r="C258" s="12" t="inlineStr">
        <is>
          <t xml:space="preserve">%</t>
        </is>
      </c>
    </row>
    <row r="259" ht="20" customHeight="1">
      <c r="A259" s="12" t="inlineStr">
        <is>
          <r>
            <rPr>
              <sz val="12"/>
              <rFont val="KaiTi"/>
              <family val="2"/>
            </rPr>
            <t xml:space="preserve">销售人员占比</t>
          </r>
        </is>
      </c>
      <c r="B259" s="13">
        <f>B161/B166</f>
        <v>0.03443644261545496</v>
      </c>
      <c r="C259" s="12" t="inlineStr">
        <is>
          <t xml:space="preserve">%</t>
        </is>
      </c>
    </row>
    <row r="260" ht="20" customHeight="1">
      <c r="A260" s="12" t="inlineStr">
        <is>
          <r>
            <rPr>
              <sz val="12"/>
              <rFont val="KaiTi"/>
              <family val="2"/>
            </rPr>
            <t xml:space="preserve">研发投入占营业收入比例</t>
          </r>
        </is>
      </c>
      <c r="B260" s="28">
        <v>0.004756818634819984</v>
      </c>
      <c r="C260" s="12" t="inlineStr">
        <is>
          <t xml:space="preserve">%</t>
        </is>
      </c>
    </row>
    <row r="261" ht="20" customHeight="1">
      <c r="A261" s="12" t="inlineStr">
        <is>
          <r>
            <rPr>
              <sz val="12"/>
              <rFont val="KaiTi"/>
              <family val="2"/>
            </rPr>
            <t xml:space="preserve">前五名客户占比</t>
          </r>
        </is>
      </c>
      <c r="B261" s="28">
        <v>0.10095936607974382</v>
      </c>
      <c r="C261" s="12" t="inlineStr">
        <is>
          <t xml:space="preserve">%</t>
        </is>
      </c>
    </row>
    <row r="262" ht="20" customHeight="1">
      <c r="A262" s="12" t="inlineStr">
        <is>
          <r>
            <rPr>
              <sz val="12"/>
              <rFont val="KaiTi"/>
              <family val="2"/>
            </rPr>
            <t xml:space="preserve">剩余履约义务与合同负债之比</t>
          </r>
        </is>
      </c>
      <c r="B262" s="28">
        <v>1.0</v>
      </c>
      <c r="C262" s="12" t="inlineStr">
        <is>
          <t xml:space="preserve">%</t>
        </is>
      </c>
    </row>
    <row r="263" ht="20" customHeight="1">
      <c r="A263" s="12" t="inlineStr">
        <is>
          <r>
            <rPr>
              <sz val="12"/>
              <rFont val="KaiTi"/>
              <family val="2"/>
            </rPr>
            <t xml:space="preserve">回购注销股份占总股本比例</t>
          </r>
        </is>
      </c>
      <c r="B263" s="13">
        <f>B155/B156</f>
        <v>0.0031265657367016563</v>
      </c>
      <c r="C263" s="12" t="inlineStr">
        <is>
          <t xml:space="preserve">%</t>
        </is>
      </c>
    </row>
    <row r="264" ht="20" customHeight="1">
      <c r="A264" s="12" t="inlineStr">
        <is>
          <r>
            <rPr>
              <sz val="12"/>
              <rFont val="KaiTi"/>
              <family val="2"/>
            </rPr>
            <t xml:space="preserve">近三年分红与回购合计与年均净利润之比</t>
          </r>
        </is>
      </c>
      <c r="B264" s="25">
        <v>2.3318985443121347</v>
      </c>
      <c r="C264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  <row r="265" ht="20" customHeight="1">
      <c r="A265" s="12" t="inlineStr">
        <is>
          <r>
            <rPr>
              <sz val="12"/>
              <rFont val="KaiTi"/>
              <family val="2"/>
            </rPr>
            <t xml:space="preserve">拆出资金占总资产比例变动</t>
          </r>
        </is>
      </c>
      <c r="B265" s="25">
        <v>-9.93</v>
      </c>
      <c r="C265" s="12" t="inlineStr">
        <is>
          <t xml:space="preserve">pp</t>
        </is>
      </c>
    </row>
    <row r="266" ht="20" customHeight="1">
      <c r="A266" s="12" t="inlineStr">
        <is>
          <r>
            <rPr>
              <sz val="12"/>
              <rFont val="KaiTi"/>
              <family val="2"/>
            </rPr>
            <t xml:space="preserve">第四季度收入占全年比例</t>
          </r>
        </is>
      </c>
      <c r="B266" s="28">
        <v>0.23919005400686955</v>
      </c>
      <c r="C266" s="12" t="inlineStr">
        <is>
          <t xml:space="preserve">%</t>
        </is>
      </c>
    </row>
    <row r="267" ht="20" customHeight="1">
      <c r="A267" s="12" t="inlineStr">
        <is>
          <r>
            <rPr>
              <sz val="12"/>
              <rFont val="KaiTi"/>
              <family val="2"/>
            </rPr>
            <t xml:space="preserve">第一季度收入占全年比例</t>
          </r>
        </is>
      </c>
      <c r="B267" s="28">
        <v>0.2997010575936046</v>
      </c>
      <c r="C267" s="12" t="inlineStr">
        <is>
          <t xml:space="preserve">%</t>
        </is>
      </c>
    </row>
    <row r="268" ht="20" customHeight="1">
      <c r="A268" s="12" t="inlineStr">
        <is>
          <r>
            <rPr>
              <sz val="12"/>
              <rFont val="KaiTi"/>
              <family val="2"/>
            </rPr>
            <t xml:space="preserve">第一季度经营现金流占全年比例</t>
          </r>
        </is>
      </c>
      <c r="B268" s="28">
        <v>0.143187254876592</v>
      </c>
      <c r="C268" s="12" t="inlineStr">
        <is>
          <t xml:space="preserve">%</t>
        </is>
      </c>
    </row>
    <row r="269" ht="20" customHeight="1">
      <c r="A269" s="12" t="inlineStr">
        <is>
          <r>
            <rPr>
              <sz val="12"/>
              <rFont val="KaiTi"/>
              <family val="2"/>
            </rPr>
            <t xml:space="preserve">下半年经营现金流</t>
          </r>
        </is>
      </c>
      <c r="B269" s="25">
        <v>48403143958.020004</v>
      </c>
      <c r="C269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70" ht="20" customHeight="1">
      <c r="A270" s="12" t="inlineStr">
        <is>
          <r>
            <rPr>
              <sz val="12"/>
              <rFont val="KaiTi"/>
              <family val="2"/>
            </rPr>
            <t xml:space="preserve">直销中自营及其他收入（上期）</t>
          </r>
        </is>
      </c>
      <c r="B270" s="25">
        <v>54819660900.0</v>
      </c>
      <c r="C270" s="12" t="inlineStr">
        <is>
          <r>
            <rPr>
              <sz val="12"/>
              <rFont val="KaiTi"/>
              <family val="2"/>
            </rPr>
            <t xml:space="preserve">元</t>
          </r>
        </is>
      </c>
    </row>
    <row r="271" ht="20" customHeight="1">
      <c r="A271" s="12" t="inlineStr">
        <is>
          <r>
            <rPr>
              <sz val="12"/>
              <rFont val="KaiTi"/>
              <family val="2"/>
            </rPr>
            <t xml:space="preserve">直销中自营及其他收入同比</t>
          </r>
        </is>
      </c>
      <c r="B271" s="28">
        <v>0.30448855721816415</v>
      </c>
      <c r="C271" s="12" t="inlineStr">
        <is>
          <t xml:space="preserve">%</t>
        </is>
      </c>
    </row>
    <row r="272" ht="20" customHeight="1">
      <c r="A272" s="12" t="inlineStr">
        <is>
          <r>
            <rPr>
              <sz val="12"/>
              <rFont val="KaiTi"/>
              <family val="2"/>
            </rPr>
            <t xml:space="preserve">第二季度营业收入环比</t>
          </r>
        </is>
      </c>
      <c r="B272" s="28">
        <v>-0.2334454098948905</v>
      </c>
      <c r="C272" s="12" t="inlineStr">
        <is>
          <t xml:space="preserve">%</t>
        </is>
      </c>
    </row>
    <row r="273" ht="20" customHeight="1">
      <c r="A273" s="12" t="inlineStr">
        <is>
          <r>
            <rPr>
              <sz val="12"/>
              <rFont val="KaiTi"/>
              <family val="2"/>
            </rPr>
            <t xml:space="preserve">第三季度营业收入环比</t>
          </r>
        </is>
      </c>
      <c r="B273" s="28">
        <v>0.007114413913424489</v>
      </c>
      <c r="C273" s="12" t="inlineStr">
        <is>
          <t xml:space="preserve">%</t>
        </is>
      </c>
    </row>
    <row r="274" ht="20" customHeight="1">
      <c r="A274" s="12" t="inlineStr">
        <is>
          <r>
            <rPr>
              <sz val="12"/>
              <rFont val="KaiTi"/>
              <family val="2"/>
            </rPr>
            <t xml:space="preserve">第四季度营业收入环比</t>
          </r>
        </is>
      </c>
      <c r="B274" s="28">
        <v>0.033791462304090025</v>
      </c>
      <c r="C274" s="12" t="inlineStr">
        <is>
          <t xml:space="preserve">%</t>
        </is>
      </c>
    </row>
    <row r="275" ht="20" customHeight="1">
      <c r="A275" s="12" t="inlineStr">
        <is>
          <r>
            <rPr>
              <sz val="12"/>
              <rFont val="KaiTi"/>
              <family val="2"/>
            </rPr>
            <t xml:space="preserve">第四季度归母净利润环比</t>
          </r>
        </is>
      </c>
      <c r="B275" s="28">
        <v>-0.07961304556968762</v>
      </c>
      <c r="C275" s="12" t="inlineStr">
        <is>
          <t xml:space="preserve">%</t>
        </is>
      </c>
    </row>
    <row r="276" ht="20" customHeight="1">
      <c r="A276" s="12" t="inlineStr">
        <is>
          <r>
            <rPr>
              <sz val="12"/>
              <rFont val="KaiTi"/>
              <family val="2"/>
            </rPr>
            <t xml:space="preserve">加权平均</t>
          </r>
          <r>
            <rPr>
              <sz val="12"/>
              <rFont val="Arial"/>
              <family val="2"/>
            </rPr>
            <t xml:space="preserve">ROE</t>
          </r>
          <r>
            <rPr>
              <sz val="12"/>
              <rFont val="KaiTi"/>
              <family val="2"/>
            </rPr>
            <t xml:space="preserve">变动</t>
          </r>
        </is>
      </c>
      <c r="B276" s="25">
        <v>-3.490000000000002</v>
      </c>
      <c r="C276" s="12" t="inlineStr">
        <is>
          <t xml:space="preserve">pp</t>
        </is>
      </c>
    </row>
    <row r="277" ht="20" customHeight="1">
      <c r="A277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年营业收入同比</t>
          </r>
        </is>
      </c>
      <c r="B277" s="28">
        <v>0.15711951294790794</v>
      </c>
      <c r="C277" s="12" t="inlineStr">
        <is>
          <t xml:space="preserve">%</t>
        </is>
      </c>
    </row>
    <row r="278" ht="20" customHeight="1">
      <c r="A278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年归母净利润同比</t>
          </r>
        </is>
      </c>
      <c r="B278" s="28">
        <v>0.15379966101625642</v>
      </c>
      <c r="C278" s="12" t="inlineStr">
        <is>
          <t xml:space="preserve">%</t>
        </is>
      </c>
    </row>
    <row r="279" ht="20" customHeight="1">
      <c r="A279" s="12" t="inlineStr">
        <is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年经营现金流同比</t>
          </r>
        </is>
      </c>
      <c r="B279" s="28">
        <v>0.38848449854393946</v>
      </c>
      <c r="C279" s="12" t="inlineStr">
        <is>
          <t xml:space="preserve">%</t>
        </is>
      </c>
    </row>
    <row r="280" ht="20" customHeight="1">
      <c r="A280" s="12" t="inlineStr">
        <is>
          <r>
            <rPr>
              <sz val="12"/>
              <rFont val="KaiTi"/>
              <family val="2"/>
            </rPr>
            <t xml:space="preserve">直销吨价与批发代理吨价之比</t>
          </r>
        </is>
      </c>
      <c r="B280" s="25">
        <v>3.016143009817678</v>
      </c>
      <c r="C280" s="12" t="inlineStr">
        <is>
          <r>
            <rPr>
              <sz val="12"/>
              <rFont val="KaiTi"/>
              <family val="2"/>
            </rPr>
            <t xml:space="preserve">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78.4%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7.65%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2.50%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1.46e-11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